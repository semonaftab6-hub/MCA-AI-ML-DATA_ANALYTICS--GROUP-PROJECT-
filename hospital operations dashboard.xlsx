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evan\Documents\mca ai\iiot\"/>
    </mc:Choice>
  </mc:AlternateContent>
  <xr:revisionPtr revIDLastSave="0" documentId="8_{519B9CAF-1481-4AF0-9A9C-3519F9406F70}" xr6:coauthVersionLast="47" xr6:coauthVersionMax="47" xr10:uidLastSave="{00000000-0000-0000-0000-000000000000}"/>
  <bookViews>
    <workbookView xWindow="-110" yWindow="-110" windowWidth="19420" windowHeight="12220" activeTab="2" xr2:uid="{08F5CC00-7BF0-4A1B-837C-6E8A11B98491}"/>
  </bookViews>
  <sheets>
    <sheet name="data" sheetId="1" r:id="rId1"/>
    <sheet name="pivot table" sheetId="2" r:id="rId2"/>
    <sheet name="dashboard" sheetId="3" r:id="rId3"/>
  </sheets>
  <calcPr calcId="0"/>
  <pivotCaches>
    <pivotCache cacheId="3" r:id="rId4"/>
    <pivotCache cacheId="7" r:id="rId5"/>
    <pivotCache cacheId="11" r:id="rId6"/>
  </pivotCaches>
</workbook>
</file>

<file path=xl/sharedStrings.xml><?xml version="1.0" encoding="utf-8"?>
<sst xmlns="http://schemas.openxmlformats.org/spreadsheetml/2006/main" count="124" uniqueCount="62">
  <si>
    <t>Row Labels</t>
  </si>
  <si>
    <t>Sum of Sum of admission_id</t>
  </si>
  <si>
    <t>Sum of Sum of disease_id</t>
  </si>
  <si>
    <t>Sum of Sum of ward_id</t>
  </si>
  <si>
    <t>Sum of Sum of patient_id</t>
  </si>
  <si>
    <t>Sum of Sum of bed_id</t>
  </si>
  <si>
    <t>Sum of Sum of department_id</t>
  </si>
  <si>
    <t>Dashboard of disease analytics</t>
  </si>
  <si>
    <t>Grand Total</t>
  </si>
  <si>
    <t>Sum of Sum of test_id</t>
  </si>
  <si>
    <t>Sum of Sum of standard_cost</t>
  </si>
  <si>
    <t>Blood Sugar</t>
  </si>
  <si>
    <t>Complete Blood Count</t>
  </si>
  <si>
    <t>Acute Myocardial Infarction</t>
  </si>
  <si>
    <t>CT Scan Brain</t>
  </si>
  <si>
    <t>Acute Respiratory Distress</t>
  </si>
  <si>
    <t>Anemia</t>
  </si>
  <si>
    <t>Kidney Function Test</t>
  </si>
  <si>
    <t>Appendicitis</t>
  </si>
  <si>
    <t>Lipid Profile</t>
  </si>
  <si>
    <t>Cardiac</t>
  </si>
  <si>
    <t>Liver Function Test</t>
  </si>
  <si>
    <t>Chronic Kidney Disease</t>
  </si>
  <si>
    <t>MRI Spine</t>
  </si>
  <si>
    <t>Chronic Obstructive Pulmonary Disease</t>
  </si>
  <si>
    <t>Pathology</t>
  </si>
  <si>
    <t>COVID-19</t>
  </si>
  <si>
    <t>Radiology</t>
  </si>
  <si>
    <t>Diabetes Mellitus</t>
  </si>
  <si>
    <t>Ultrasound Abdomen</t>
  </si>
  <si>
    <t>Endocrine</t>
  </si>
  <si>
    <t>X-Ray Chest</t>
  </si>
  <si>
    <t>Fracture Femur</t>
  </si>
  <si>
    <t>Gallstones</t>
  </si>
  <si>
    <t>Hematological</t>
  </si>
  <si>
    <t>Hernia</t>
  </si>
  <si>
    <t>Hypertension</t>
  </si>
  <si>
    <t>Infectious</t>
  </si>
  <si>
    <t>Neonatal Jaundice</t>
  </si>
  <si>
    <t>Neurological</t>
  </si>
  <si>
    <t>Orthopedic</t>
  </si>
  <si>
    <t>Pediatric</t>
  </si>
  <si>
    <t>Pneumonia</t>
  </si>
  <si>
    <t>Renal</t>
  </si>
  <si>
    <t>Respiratory</t>
  </si>
  <si>
    <t>Road Traffic Accident</t>
  </si>
  <si>
    <t>Sepsis</t>
  </si>
  <si>
    <t>Stroke</t>
  </si>
  <si>
    <t>Surgical</t>
  </si>
  <si>
    <t>Trauma</t>
  </si>
  <si>
    <t>Tuberculosis</t>
  </si>
  <si>
    <t>Urinary Tract Infection</t>
  </si>
  <si>
    <t>Viral Fever</t>
  </si>
  <si>
    <t>Sum of Sum of Sum of admission_id</t>
  </si>
  <si>
    <t>Sum of Sum of Sum of disease_id</t>
  </si>
  <si>
    <t>Sum of Sum of Sum of ward_id</t>
  </si>
  <si>
    <t>Sum of Sum of Sum of patient_id</t>
  </si>
  <si>
    <t>Sum of Sum of Sum of bed_id</t>
  </si>
  <si>
    <t>Sum of Sum of Sum of department_id</t>
  </si>
  <si>
    <t>Sum of Sum of Sum of test_id</t>
  </si>
  <si>
    <t>Sum of Sum of Sum of standard_cost</t>
  </si>
  <si>
    <t>hospital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</si>
</sst>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36"/>
      <color theme="0" tint="-4.9989318521683403E-2"/>
      <name val="Arial Black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18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 operations dashboard.xlsx]pivot table!PivotTable1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Sum of all</a:t>
            </a:r>
            <a:r>
              <a:rPr lang="en-US" baseline="0"/>
              <a:t> ids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table'!$B$1</c:f>
              <c:strCache>
                <c:ptCount val="1"/>
                <c:pt idx="0">
                  <c:v>Sum of Sum of Sum of admission_id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38-4C7D-B88D-A181188F1F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38-4C7D-B88D-A181188F1F9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938-4C7D-B88D-A181188F1F9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938-4C7D-B88D-A181188F1F9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938-4C7D-B88D-A181188F1F9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938-4C7D-B88D-A181188F1F9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938-4C7D-B88D-A181188F1F92}"/>
              </c:ext>
            </c:extLst>
          </c:dPt>
          <c:cat>
            <c:strRef>
              <c:f>'pivot table'!$A$2:$A$9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Grand Total</c:v>
                </c:pt>
              </c:strCache>
            </c:strRef>
          </c:cat>
          <c:val>
            <c:numRef>
              <c:f>'pivot table'!$B$2:$B$9</c:f>
              <c:numCache>
                <c:formatCode>General</c:formatCode>
                <c:ptCount val="7"/>
                <c:pt idx="0">
                  <c:v>167817177</c:v>
                </c:pt>
                <c:pt idx="1">
                  <c:v>169790522</c:v>
                </c:pt>
                <c:pt idx="2">
                  <c:v>167691260</c:v>
                </c:pt>
                <c:pt idx="3">
                  <c:v>166237855</c:v>
                </c:pt>
                <c:pt idx="4">
                  <c:v>169762355</c:v>
                </c:pt>
                <c:pt idx="5">
                  <c:v>171223331</c:v>
                </c:pt>
                <c:pt idx="6">
                  <c:v>3037567500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938-4C7D-B88D-A181188F1F92}"/>
            </c:ext>
          </c:extLst>
        </c:ser>
        <c:ser>
          <c:idx val="1"/>
          <c:order val="1"/>
          <c:tx>
            <c:strRef>
              <c:f>'pivot table'!$C$1</c:f>
              <c:strCache>
                <c:ptCount val="1"/>
                <c:pt idx="0">
                  <c:v>Sum of Sum of Sum of disease_id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D938-4C7D-B88D-A181188F1F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D938-4C7D-B88D-A181188F1F9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D938-4C7D-B88D-A181188F1F9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D938-4C7D-B88D-A181188F1F9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D938-4C7D-B88D-A181188F1F9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D938-4C7D-B88D-A181188F1F9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D938-4C7D-B88D-A181188F1F92}"/>
              </c:ext>
            </c:extLst>
          </c:dPt>
          <c:cat>
            <c:strRef>
              <c:f>'pivot table'!$A$2:$A$9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Grand Total</c:v>
                </c:pt>
              </c:strCache>
            </c:strRef>
          </c:cat>
          <c:val>
            <c:numRef>
              <c:f>'pivot table'!$C$2:$C$9</c:f>
              <c:numCache>
                <c:formatCode>General</c:formatCode>
                <c:ptCount val="7"/>
                <c:pt idx="0">
                  <c:v>77676</c:v>
                </c:pt>
                <c:pt idx="1">
                  <c:v>78070</c:v>
                </c:pt>
                <c:pt idx="2">
                  <c:v>79196</c:v>
                </c:pt>
                <c:pt idx="3">
                  <c:v>76580</c:v>
                </c:pt>
                <c:pt idx="4">
                  <c:v>79126</c:v>
                </c:pt>
                <c:pt idx="5">
                  <c:v>80045</c:v>
                </c:pt>
                <c:pt idx="6">
                  <c:v>1412079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938-4C7D-B88D-A181188F1F92}"/>
            </c:ext>
          </c:extLst>
        </c:ser>
        <c:ser>
          <c:idx val="2"/>
          <c:order val="2"/>
          <c:tx>
            <c:strRef>
              <c:f>'pivot table'!$D$1</c:f>
              <c:strCache>
                <c:ptCount val="1"/>
                <c:pt idx="0">
                  <c:v>Sum of Sum of Sum of ward_id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D938-4C7D-B88D-A181188F1F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D938-4C7D-B88D-A181188F1F9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D938-4C7D-B88D-A181188F1F9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D938-4C7D-B88D-A181188F1F9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D938-4C7D-B88D-A181188F1F9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D938-4C7D-B88D-A181188F1F9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D938-4C7D-B88D-A181188F1F92}"/>
              </c:ext>
            </c:extLst>
          </c:dPt>
          <c:cat>
            <c:strRef>
              <c:f>'pivot table'!$A$2:$A$9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Grand Total</c:v>
                </c:pt>
              </c:strCache>
            </c:strRef>
          </c:cat>
          <c:val>
            <c:numRef>
              <c:f>'pivot table'!$D$2:$D$9</c:f>
              <c:numCache>
                <c:formatCode>General</c:formatCode>
                <c:ptCount val="7"/>
                <c:pt idx="0">
                  <c:v>101308</c:v>
                </c:pt>
                <c:pt idx="1">
                  <c:v>101884</c:v>
                </c:pt>
                <c:pt idx="2">
                  <c:v>101387</c:v>
                </c:pt>
                <c:pt idx="3">
                  <c:v>99102</c:v>
                </c:pt>
                <c:pt idx="4">
                  <c:v>102589</c:v>
                </c:pt>
                <c:pt idx="5">
                  <c:v>102409</c:v>
                </c:pt>
                <c:pt idx="6">
                  <c:v>1826037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938-4C7D-B88D-A181188F1F92}"/>
            </c:ext>
          </c:extLst>
        </c:ser>
        <c:ser>
          <c:idx val="3"/>
          <c:order val="3"/>
          <c:tx>
            <c:strRef>
              <c:f>'pivot table'!$E$1</c:f>
              <c:strCache>
                <c:ptCount val="1"/>
                <c:pt idx="0">
                  <c:v>Sum of Sum of Sum of patient_id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E-D938-4C7D-B88D-A181188F1F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0-D938-4C7D-B88D-A181188F1F9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2-D938-4C7D-B88D-A181188F1F9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4-D938-4C7D-B88D-A181188F1F9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6-D938-4C7D-B88D-A181188F1F9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8-D938-4C7D-B88D-A181188F1F9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A-D938-4C7D-B88D-A181188F1F92}"/>
              </c:ext>
            </c:extLst>
          </c:dPt>
          <c:cat>
            <c:strRef>
              <c:f>'pivot table'!$A$2:$A$9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Grand Total</c:v>
                </c:pt>
              </c:strCache>
            </c:strRef>
          </c:cat>
          <c:val>
            <c:numRef>
              <c:f>'pivot table'!$E$2:$E$9</c:f>
              <c:numCache>
                <c:formatCode>General</c:formatCode>
                <c:ptCount val="7"/>
                <c:pt idx="0">
                  <c:v>111820808</c:v>
                </c:pt>
                <c:pt idx="1">
                  <c:v>113102961</c:v>
                </c:pt>
                <c:pt idx="2">
                  <c:v>110459418</c:v>
                </c:pt>
                <c:pt idx="3">
                  <c:v>110247502</c:v>
                </c:pt>
                <c:pt idx="4">
                  <c:v>112598817</c:v>
                </c:pt>
                <c:pt idx="5">
                  <c:v>112853690</c:v>
                </c:pt>
                <c:pt idx="6">
                  <c:v>2013249588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D938-4C7D-B88D-A181188F1F92}"/>
            </c:ext>
          </c:extLst>
        </c:ser>
        <c:ser>
          <c:idx val="4"/>
          <c:order val="4"/>
          <c:tx>
            <c:strRef>
              <c:f>'pivot table'!$F$1</c:f>
              <c:strCache>
                <c:ptCount val="1"/>
                <c:pt idx="0">
                  <c:v>Sum of Sum of Sum of bed_id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D938-4C7D-B88D-A181188F1F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D938-4C7D-B88D-A181188F1F9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D938-4C7D-B88D-A181188F1F9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D938-4C7D-B88D-A181188F1F9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D938-4C7D-B88D-A181188F1F9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D938-4C7D-B88D-A181188F1F9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D938-4C7D-B88D-A181188F1F92}"/>
              </c:ext>
            </c:extLst>
          </c:dPt>
          <c:cat>
            <c:strRef>
              <c:f>'pivot table'!$A$2:$A$9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Grand Total</c:v>
                </c:pt>
              </c:strCache>
            </c:strRef>
          </c:cat>
          <c:val>
            <c:numRef>
              <c:f>'pivot table'!$F$2:$F$9</c:f>
              <c:numCache>
                <c:formatCode>General</c:formatCode>
                <c:ptCount val="7"/>
                <c:pt idx="0">
                  <c:v>1458397</c:v>
                </c:pt>
                <c:pt idx="1">
                  <c:v>1465710</c:v>
                </c:pt>
                <c:pt idx="2">
                  <c:v>1458103</c:v>
                </c:pt>
                <c:pt idx="3">
                  <c:v>1425469</c:v>
                </c:pt>
                <c:pt idx="4">
                  <c:v>1476289</c:v>
                </c:pt>
                <c:pt idx="5">
                  <c:v>1472798</c:v>
                </c:pt>
                <c:pt idx="6">
                  <c:v>26270298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D938-4C7D-B88D-A181188F1F92}"/>
            </c:ext>
          </c:extLst>
        </c:ser>
        <c:ser>
          <c:idx val="5"/>
          <c:order val="5"/>
          <c:tx>
            <c:strRef>
              <c:f>'pivot table'!$G$1</c:f>
              <c:strCache>
                <c:ptCount val="1"/>
                <c:pt idx="0">
                  <c:v>Sum of Sum of Sum of department_id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table'!$A$2:$A$9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Grand Total</c:v>
                </c:pt>
              </c:strCache>
            </c:strRef>
          </c:cat>
          <c:val>
            <c:numRef>
              <c:f>'pivot table'!$G$2:$G$9</c:f>
              <c:numCache>
                <c:formatCode>General</c:formatCode>
                <c:ptCount val="7"/>
                <c:pt idx="0">
                  <c:v>23659</c:v>
                </c:pt>
                <c:pt idx="1">
                  <c:v>23772</c:v>
                </c:pt>
                <c:pt idx="2">
                  <c:v>23667</c:v>
                </c:pt>
                <c:pt idx="3">
                  <c:v>23205</c:v>
                </c:pt>
                <c:pt idx="4">
                  <c:v>23925</c:v>
                </c:pt>
                <c:pt idx="5">
                  <c:v>23929</c:v>
                </c:pt>
                <c:pt idx="6">
                  <c:v>426471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B-D938-4C7D-B88D-A181188F1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 operations dashboard.xlsx]pivot table!PivotTable2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table'!$B$12</c:f>
              <c:strCache>
                <c:ptCount val="1"/>
                <c:pt idx="0">
                  <c:v>Sum of Sum of Sum of test_id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table'!$A$13:$A$25</c:f>
              <c:strCache>
                <c:ptCount val="12"/>
                <c:pt idx="0">
                  <c:v>Blood Sugar</c:v>
                </c:pt>
                <c:pt idx="1">
                  <c:v>Complete Blood Count</c:v>
                </c:pt>
                <c:pt idx="2">
                  <c:v>CT Scan Brain</c:v>
                </c:pt>
                <c:pt idx="3">
                  <c:v>Grand Total</c:v>
                </c:pt>
                <c:pt idx="4">
                  <c:v>Kidney Function Test</c:v>
                </c:pt>
                <c:pt idx="5">
                  <c:v>Lipid Profile</c:v>
                </c:pt>
                <c:pt idx="6">
                  <c:v>Liver Function Test</c:v>
                </c:pt>
                <c:pt idx="7">
                  <c:v>MRI Spine</c:v>
                </c:pt>
                <c:pt idx="8">
                  <c:v>Pathology</c:v>
                </c:pt>
                <c:pt idx="9">
                  <c:v>Radiology</c:v>
                </c:pt>
                <c:pt idx="10">
                  <c:v>Ultrasound Abdomen</c:v>
                </c:pt>
                <c:pt idx="11">
                  <c:v>X-Ray Chest</c:v>
                </c:pt>
              </c:strCache>
            </c:strRef>
          </c:cat>
          <c:val>
            <c:numRef>
              <c:f>'pivot table'!$B$13:$B$25</c:f>
              <c:numCache>
                <c:formatCode>General</c:formatCode>
                <c:ptCount val="12"/>
                <c:pt idx="0">
                  <c:v>6</c:v>
                </c:pt>
                <c:pt idx="1">
                  <c:v>5</c:v>
                </c:pt>
                <c:pt idx="2">
                  <c:v>2</c:v>
                </c:pt>
                <c:pt idx="3">
                  <c:v>180</c:v>
                </c:pt>
                <c:pt idx="4">
                  <c:v>8</c:v>
                </c:pt>
                <c:pt idx="5">
                  <c:v>9</c:v>
                </c:pt>
                <c:pt idx="6">
                  <c:v>7</c:v>
                </c:pt>
                <c:pt idx="7">
                  <c:v>3</c:v>
                </c:pt>
                <c:pt idx="8">
                  <c:v>35</c:v>
                </c:pt>
                <c:pt idx="9">
                  <c:v>10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2C-476B-A50A-5EBAC5E0E93D}"/>
            </c:ext>
          </c:extLst>
        </c:ser>
        <c:ser>
          <c:idx val="1"/>
          <c:order val="1"/>
          <c:tx>
            <c:strRef>
              <c:f>'pivot table'!$C$12</c:f>
              <c:strCache>
                <c:ptCount val="1"/>
                <c:pt idx="0">
                  <c:v>Sum of Sum of Sum of standard_cost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table'!$A$13:$A$25</c:f>
              <c:strCache>
                <c:ptCount val="12"/>
                <c:pt idx="0">
                  <c:v>Blood Sugar</c:v>
                </c:pt>
                <c:pt idx="1">
                  <c:v>Complete Blood Count</c:v>
                </c:pt>
                <c:pt idx="2">
                  <c:v>CT Scan Brain</c:v>
                </c:pt>
                <c:pt idx="3">
                  <c:v>Grand Total</c:v>
                </c:pt>
                <c:pt idx="4">
                  <c:v>Kidney Function Test</c:v>
                </c:pt>
                <c:pt idx="5">
                  <c:v>Lipid Profile</c:v>
                </c:pt>
                <c:pt idx="6">
                  <c:v>Liver Function Test</c:v>
                </c:pt>
                <c:pt idx="7">
                  <c:v>MRI Spine</c:v>
                </c:pt>
                <c:pt idx="8">
                  <c:v>Pathology</c:v>
                </c:pt>
                <c:pt idx="9">
                  <c:v>Radiology</c:v>
                </c:pt>
                <c:pt idx="10">
                  <c:v>Ultrasound Abdomen</c:v>
                </c:pt>
                <c:pt idx="11">
                  <c:v>X-Ray Chest</c:v>
                </c:pt>
              </c:strCache>
            </c:strRef>
          </c:cat>
          <c:val>
            <c:numRef>
              <c:f>'pivot table'!$C$13:$C$25</c:f>
              <c:numCache>
                <c:formatCode>General</c:formatCode>
                <c:ptCount val="12"/>
                <c:pt idx="0">
                  <c:v>2770</c:v>
                </c:pt>
                <c:pt idx="1">
                  <c:v>4257</c:v>
                </c:pt>
                <c:pt idx="2">
                  <c:v>4852</c:v>
                </c:pt>
                <c:pt idx="3">
                  <c:v>106292</c:v>
                </c:pt>
                <c:pt idx="4">
                  <c:v>4440</c:v>
                </c:pt>
                <c:pt idx="5">
                  <c:v>2796</c:v>
                </c:pt>
                <c:pt idx="6">
                  <c:v>924</c:v>
                </c:pt>
                <c:pt idx="7">
                  <c:v>3541</c:v>
                </c:pt>
                <c:pt idx="8">
                  <c:v>15187</c:v>
                </c:pt>
                <c:pt idx="9">
                  <c:v>11386</c:v>
                </c:pt>
                <c:pt idx="10">
                  <c:v>1665</c:v>
                </c:pt>
                <c:pt idx="11">
                  <c:v>1328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2C-476B-A50A-5EBAC5E0E93D}"/>
            </c:ext>
          </c:extLst>
        </c:ser>
        <c:ser>
          <c:idx val="2"/>
          <c:order val="2"/>
          <c:tx>
            <c:strRef>
              <c:f>'pivot table'!$D$12</c:f>
              <c:strCache>
                <c:ptCount val="1"/>
                <c:pt idx="0">
                  <c:v>Sum of Sum of Sum of department_id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table'!$A$13:$A$25</c:f>
              <c:strCache>
                <c:ptCount val="12"/>
                <c:pt idx="0">
                  <c:v>Blood Sugar</c:v>
                </c:pt>
                <c:pt idx="1">
                  <c:v>Complete Blood Count</c:v>
                </c:pt>
                <c:pt idx="2">
                  <c:v>CT Scan Brain</c:v>
                </c:pt>
                <c:pt idx="3">
                  <c:v>Grand Total</c:v>
                </c:pt>
                <c:pt idx="4">
                  <c:v>Kidney Function Test</c:v>
                </c:pt>
                <c:pt idx="5">
                  <c:v>Lipid Profile</c:v>
                </c:pt>
                <c:pt idx="6">
                  <c:v>Liver Function Test</c:v>
                </c:pt>
                <c:pt idx="7">
                  <c:v>MRI Spine</c:v>
                </c:pt>
                <c:pt idx="8">
                  <c:v>Pathology</c:v>
                </c:pt>
                <c:pt idx="9">
                  <c:v>Radiology</c:v>
                </c:pt>
                <c:pt idx="10">
                  <c:v>Ultrasound Abdomen</c:v>
                </c:pt>
                <c:pt idx="11">
                  <c:v>X-Ray Chest</c:v>
                </c:pt>
              </c:strCache>
            </c:strRef>
          </c:cat>
          <c:val>
            <c:numRef>
              <c:f>'pivot table'!$D$13:$D$25</c:f>
              <c:numCache>
                <c:formatCode>General</c:formatCode>
                <c:ptCount val="12"/>
                <c:pt idx="0">
                  <c:v>8</c:v>
                </c:pt>
                <c:pt idx="1">
                  <c:v>8</c:v>
                </c:pt>
                <c:pt idx="2">
                  <c:v>7</c:v>
                </c:pt>
                <c:pt idx="3">
                  <c:v>272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7</c:v>
                </c:pt>
                <c:pt idx="8">
                  <c:v>40</c:v>
                </c:pt>
                <c:pt idx="9">
                  <c:v>28</c:v>
                </c:pt>
                <c:pt idx="10">
                  <c:v>7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2C-476B-A50A-5EBAC5E0E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3201535"/>
        <c:axId val="1483196255"/>
      </c:lineChart>
      <c:catAx>
        <c:axId val="148320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196255"/>
        <c:crosses val="autoZero"/>
        <c:auto val="1"/>
        <c:lblAlgn val="ctr"/>
        <c:lblOffset val="100"/>
        <c:noMultiLvlLbl val="0"/>
      </c:catAx>
      <c:valAx>
        <c:axId val="148319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201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 operations dashboard.xlsx]pivot table!PivotTable3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table'!$G$12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table'!$F$13:$F$45</c:f>
              <c:strCache>
                <c:ptCount val="32"/>
                <c:pt idx="0">
                  <c:v>Acute Myocardial Infarction</c:v>
                </c:pt>
                <c:pt idx="1">
                  <c:v>Acute Respiratory Distress</c:v>
                </c:pt>
                <c:pt idx="2">
                  <c:v>Anemia</c:v>
                </c:pt>
                <c:pt idx="3">
                  <c:v>Appendicitis</c:v>
                </c:pt>
                <c:pt idx="4">
                  <c:v>Cardiac</c:v>
                </c:pt>
                <c:pt idx="5">
                  <c:v>Chronic Kidney Disease</c:v>
                </c:pt>
                <c:pt idx="6">
                  <c:v>Chronic Obstructive Pulmonary Disease</c:v>
                </c:pt>
                <c:pt idx="7">
                  <c:v>COVID-19</c:v>
                </c:pt>
                <c:pt idx="8">
                  <c:v>Diabetes Mellitus</c:v>
                </c:pt>
                <c:pt idx="9">
                  <c:v>Endocrine</c:v>
                </c:pt>
                <c:pt idx="10">
                  <c:v>Fracture Femur</c:v>
                </c:pt>
                <c:pt idx="11">
                  <c:v>Gallstones</c:v>
                </c:pt>
                <c:pt idx="12">
                  <c:v>Grand Total</c:v>
                </c:pt>
                <c:pt idx="13">
                  <c:v>Hematological</c:v>
                </c:pt>
                <c:pt idx="14">
                  <c:v>Hernia</c:v>
                </c:pt>
                <c:pt idx="15">
                  <c:v>Hypertension</c:v>
                </c:pt>
                <c:pt idx="16">
                  <c:v>Infectious</c:v>
                </c:pt>
                <c:pt idx="17">
                  <c:v>Neonatal Jaundice</c:v>
                </c:pt>
                <c:pt idx="18">
                  <c:v>Neurological</c:v>
                </c:pt>
                <c:pt idx="19">
                  <c:v>Orthopedic</c:v>
                </c:pt>
                <c:pt idx="20">
                  <c:v>Pediatric</c:v>
                </c:pt>
                <c:pt idx="21">
                  <c:v>Pneumonia</c:v>
                </c:pt>
                <c:pt idx="22">
                  <c:v>Renal</c:v>
                </c:pt>
                <c:pt idx="23">
                  <c:v>Respiratory</c:v>
                </c:pt>
                <c:pt idx="24">
                  <c:v>Road Traffic Accident</c:v>
                </c:pt>
                <c:pt idx="25">
                  <c:v>Sepsis</c:v>
                </c:pt>
                <c:pt idx="26">
                  <c:v>Stroke</c:v>
                </c:pt>
                <c:pt idx="27">
                  <c:v>Surgical</c:v>
                </c:pt>
                <c:pt idx="28">
                  <c:v>Trauma</c:v>
                </c:pt>
                <c:pt idx="29">
                  <c:v>Tuberculosis</c:v>
                </c:pt>
                <c:pt idx="30">
                  <c:v>Urinary Tract Infection</c:v>
                </c:pt>
                <c:pt idx="31">
                  <c:v>Viral Fever</c:v>
                </c:pt>
              </c:strCache>
            </c:strRef>
          </c:cat>
          <c:val>
            <c:numRef>
              <c:f>'pivot table'!$G$13:$G$45</c:f>
              <c:numCache>
                <c:formatCode>General</c:formatCode>
                <c:ptCount val="32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9</c:v>
                </c:pt>
                <c:pt idx="7">
                  <c:v>19</c:v>
                </c:pt>
                <c:pt idx="8">
                  <c:v>6</c:v>
                </c:pt>
                <c:pt idx="9">
                  <c:v>6</c:v>
                </c:pt>
                <c:pt idx="10">
                  <c:v>11</c:v>
                </c:pt>
                <c:pt idx="11">
                  <c:v>13</c:v>
                </c:pt>
                <c:pt idx="12">
                  <c:v>840</c:v>
                </c:pt>
                <c:pt idx="13">
                  <c:v>10</c:v>
                </c:pt>
                <c:pt idx="14">
                  <c:v>14</c:v>
                </c:pt>
                <c:pt idx="15">
                  <c:v>7</c:v>
                </c:pt>
                <c:pt idx="16">
                  <c:v>78</c:v>
                </c:pt>
                <c:pt idx="17">
                  <c:v>16</c:v>
                </c:pt>
                <c:pt idx="18">
                  <c:v>2</c:v>
                </c:pt>
                <c:pt idx="19">
                  <c:v>11</c:v>
                </c:pt>
                <c:pt idx="20">
                  <c:v>31</c:v>
                </c:pt>
                <c:pt idx="21">
                  <c:v>15</c:v>
                </c:pt>
                <c:pt idx="22">
                  <c:v>8</c:v>
                </c:pt>
                <c:pt idx="23">
                  <c:v>14</c:v>
                </c:pt>
                <c:pt idx="24">
                  <c:v>3</c:v>
                </c:pt>
                <c:pt idx="25">
                  <c:v>4</c:v>
                </c:pt>
                <c:pt idx="26">
                  <c:v>2</c:v>
                </c:pt>
                <c:pt idx="27">
                  <c:v>39</c:v>
                </c:pt>
                <c:pt idx="28">
                  <c:v>3</c:v>
                </c:pt>
                <c:pt idx="29">
                  <c:v>20</c:v>
                </c:pt>
                <c:pt idx="30">
                  <c:v>17</c:v>
                </c:pt>
                <c:pt idx="3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00-41D5-AB2B-4C31CBB5C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3200575"/>
        <c:axId val="1483200095"/>
      </c:barChart>
      <c:catAx>
        <c:axId val="1483200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200095"/>
        <c:crosses val="autoZero"/>
        <c:auto val="1"/>
        <c:lblAlgn val="ctr"/>
        <c:lblOffset val="100"/>
        <c:noMultiLvlLbl val="0"/>
      </c:catAx>
      <c:valAx>
        <c:axId val="148320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200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107950</xdr:colOff>
      <xdr:row>8</xdr:row>
      <xdr:rowOff>152400</xdr:rowOff>
    </xdr:from>
    <xdr:to>
      <xdr:col>7</xdr:col>
      <xdr:colOff>412750</xdr:colOff>
      <xdr:row>25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01B3BA-131F-4F61-80F5-4F32B513D5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107950</xdr:colOff>
      <xdr:row>6</xdr:row>
      <xdr:rowOff>31750</xdr:rowOff>
    </xdr:from>
    <xdr:ext cx="2292872" cy="43678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EB4F4DE-44DB-4C12-6008-3A4A80CB0E58}"/>
            </a:ext>
          </a:extLst>
        </xdr:cNvPr>
        <xdr:cNvSpPr txBox="1"/>
      </xdr:nvSpPr>
      <xdr:spPr>
        <a:xfrm>
          <a:off x="107950" y="1136650"/>
          <a:ext cx="2292872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ids includes department_id patient_id</a:t>
          </a:r>
        </a:p>
        <a:p>
          <a:r>
            <a:rPr lang="en-IN" sz="1100"/>
            <a:t>disease_id admission_id</a:t>
          </a:r>
        </a:p>
      </xdr:txBody>
    </xdr:sp>
    <xdr:clientData/>
  </xdr:oneCellAnchor>
  <xdr:twoCellAnchor>
    <xdr:from>
      <xdr:col>8</xdr:col>
      <xdr:colOff>0</xdr:colOff>
      <xdr:row>16</xdr:row>
      <xdr:rowOff>12700</xdr:rowOff>
    </xdr:from>
    <xdr:to>
      <xdr:col>19</xdr:col>
      <xdr:colOff>31750</xdr:colOff>
      <xdr:row>25</xdr:row>
      <xdr:rowOff>146050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075A7C1-EF21-4D87-A862-E8C9FCA683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25400</xdr:colOff>
      <xdr:row>4</xdr:row>
      <xdr:rowOff>69850</xdr:rowOff>
    </xdr:from>
    <xdr:to>
      <xdr:col>19</xdr:col>
      <xdr:colOff>88900</xdr:colOff>
      <xdr:row>15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BBF3150-A978-42BD-B488-316110558A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ang Bhardwaj" refreshedDate="46311.57898298611" createdVersion="8" refreshedVersion="8" minRefreshableVersion="3" recordCount="8" xr:uid="{1C2CCD40-FBB2-41CA-A901-3D575235208C}">
  <cacheSource type="worksheet">
    <worksheetSource name="Table1"/>
  </cacheSource>
  <cacheFields count="7">
    <cacheField name="Row Labels" numFmtId="0">
      <sharedItems containsMixedTypes="1" containsNumber="1" containsInteger="1" minValue="2020" maxValue="2025" count="7">
        <n v="2020"/>
        <n v="2021"/>
        <n v="2022"/>
        <n v="2023"/>
        <n v="2024"/>
        <n v="2025"/>
        <s v="Grand Total"/>
      </sharedItems>
    </cacheField>
    <cacheField name="Sum of Sum of admission_id" numFmtId="0">
      <sharedItems containsSemiMixedTypes="0" containsString="0" containsNumber="1" containsInteger="1" minValue="166237855" maxValue="2025045000"/>
    </cacheField>
    <cacheField name="Sum of Sum of disease_id" numFmtId="0">
      <sharedItems containsSemiMixedTypes="0" containsString="0" containsNumber="1" containsInteger="1" minValue="76580" maxValue="941386"/>
    </cacheField>
    <cacheField name="Sum of Sum of ward_id" numFmtId="0">
      <sharedItems containsSemiMixedTypes="0" containsString="0" containsNumber="1" containsInteger="1" minValue="99102" maxValue="1217358"/>
    </cacheField>
    <cacheField name="Sum of Sum of patient_id" numFmtId="0">
      <sharedItems containsSemiMixedTypes="0" containsString="0" containsNumber="1" containsInteger="1" minValue="110247502" maxValue="1342166392"/>
    </cacheField>
    <cacheField name="Sum of Sum of bed_id" numFmtId="0">
      <sharedItems containsSemiMixedTypes="0" containsString="0" containsNumber="1" containsInteger="1" minValue="1425469" maxValue="17513532"/>
    </cacheField>
    <cacheField name="Sum of Sum of department_id" numFmtId="0">
      <sharedItems containsSemiMixedTypes="0" containsString="0" containsNumber="1" containsInteger="1" minValue="23205" maxValue="2843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ang Bhardwaj" refreshedDate="46311.579395949077" createdVersion="8" refreshedVersion="8" minRefreshableVersion="3" recordCount="13" xr:uid="{C8214B0D-4FB4-424F-83E1-E94870C79628}">
  <cacheSource type="worksheet">
    <worksheetSource name="Table2"/>
  </cacheSource>
  <cacheFields count="4">
    <cacheField name="Row Labels" numFmtId="0">
      <sharedItems count="12">
        <s v="Blood Sugar"/>
        <s v="Complete Blood Count"/>
        <s v="CT Scan Brain"/>
        <s v="Grand Total"/>
        <s v="Kidney Function Test"/>
        <s v="Lipid Profile"/>
        <s v="Liver Function Test"/>
        <s v="MRI Spine"/>
        <s v="Pathology"/>
        <s v="Radiology"/>
        <s v="Ultrasound Abdomen"/>
        <s v="X-Ray Chest"/>
      </sharedItems>
    </cacheField>
    <cacheField name="Sum of Sum of test_id" numFmtId="0">
      <sharedItems containsSemiMixedTypes="0" containsString="0" containsNumber="1" containsInteger="1" minValue="1" maxValue="135"/>
    </cacheField>
    <cacheField name="Sum of Sum of standard_cost" numFmtId="0">
      <sharedItems containsSemiMixedTypes="0" containsString="0" containsNumber="1" containsInteger="1" minValue="924" maxValue="79719"/>
    </cacheField>
    <cacheField name="Sum of Sum of department_id" numFmtId="0">
      <sharedItems containsSemiMixedTypes="0" containsString="0" containsNumber="1" containsInteger="1" minValue="7" maxValue="2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ang Bhardwaj" refreshedDate="46311.579791435186" createdVersion="8" refreshedVersion="8" minRefreshableVersion="3" recordCount="33" xr:uid="{A2C476D9-D219-4AE2-A6CD-F449954FDAED}">
  <cacheSource type="worksheet">
    <worksheetSource name="Table3"/>
  </cacheSource>
  <cacheFields count="2">
    <cacheField name="Row Labels" numFmtId="0">
      <sharedItems count="32">
        <s v="Acute Myocardial Infarction"/>
        <s v="Acute Respiratory Distress"/>
        <s v="Anemia"/>
        <s v="Appendicitis"/>
        <s v="Cardiac"/>
        <s v="Chronic Kidney Disease"/>
        <s v="Chronic Obstructive Pulmonary Disease"/>
        <s v="COVID-19"/>
        <s v="Diabetes Mellitus"/>
        <s v="Endocrine"/>
        <s v="Fracture Femur"/>
        <s v="Gallstones"/>
        <s v="Grand Total"/>
        <s v="Hematological"/>
        <s v="Hernia"/>
        <s v="Hypertension"/>
        <s v="Infectious"/>
        <s v="Neonatal Jaundice"/>
        <s v="Neurological"/>
        <s v="Orthopedic"/>
        <s v="Pediatric"/>
        <s v="Pneumonia"/>
        <s v="Renal"/>
        <s v="Respiratory"/>
        <s v="Road Traffic Accident"/>
        <s v="Sepsis"/>
        <s v="Stroke"/>
        <s v="Surgical"/>
        <s v="Trauma"/>
        <s v="Tuberculosis"/>
        <s v="Urinary Tract Infection"/>
        <s v="Viral Fever"/>
      </sharedItems>
    </cacheField>
    <cacheField name="Sum of Sum of disease_id" numFmtId="0">
      <sharedItems containsSemiMixedTypes="0" containsString="0" containsNumber="1" containsInteger="1" minValue="1" maxValue="6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167817177"/>
    <n v="77676"/>
    <n v="101308"/>
    <n v="111820808"/>
    <n v="1458397"/>
    <n v="23659"/>
  </r>
  <r>
    <x v="1"/>
    <n v="169790522"/>
    <n v="78070"/>
    <n v="101884"/>
    <n v="113102961"/>
    <n v="1465710"/>
    <n v="23772"/>
  </r>
  <r>
    <x v="2"/>
    <n v="167691260"/>
    <n v="79196"/>
    <n v="101387"/>
    <n v="110459418"/>
    <n v="1458103"/>
    <n v="23667"/>
  </r>
  <r>
    <x v="3"/>
    <n v="166237855"/>
    <n v="76580"/>
    <n v="99102"/>
    <n v="110247502"/>
    <n v="1425469"/>
    <n v="23205"/>
  </r>
  <r>
    <x v="4"/>
    <n v="169762355"/>
    <n v="79126"/>
    <n v="102589"/>
    <n v="112598817"/>
    <n v="1476289"/>
    <n v="23925"/>
  </r>
  <r>
    <x v="5"/>
    <n v="171223331"/>
    <n v="80045"/>
    <n v="102409"/>
    <n v="112853690"/>
    <n v="1472798"/>
    <n v="23929"/>
  </r>
  <r>
    <x v="6"/>
    <n v="1012522500"/>
    <n v="470693"/>
    <n v="608679"/>
    <n v="671083196"/>
    <n v="8756766"/>
    <n v="142157"/>
  </r>
  <r>
    <x v="6"/>
    <n v="2025045000"/>
    <n v="941386"/>
    <n v="1217358"/>
    <n v="1342166392"/>
    <n v="17513532"/>
    <n v="28431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n v="6"/>
    <n v="2770"/>
    <n v="8"/>
  </r>
  <r>
    <x v="1"/>
    <n v="5"/>
    <n v="4257"/>
    <n v="8"/>
  </r>
  <r>
    <x v="2"/>
    <n v="2"/>
    <n v="4852"/>
    <n v="7"/>
  </r>
  <r>
    <x v="3"/>
    <n v="45"/>
    <n v="26573"/>
    <n v="68"/>
  </r>
  <r>
    <x v="4"/>
    <n v="8"/>
    <n v="4440"/>
    <n v="8"/>
  </r>
  <r>
    <x v="5"/>
    <n v="9"/>
    <n v="2796"/>
    <n v="8"/>
  </r>
  <r>
    <x v="6"/>
    <n v="7"/>
    <n v="924"/>
    <n v="8"/>
  </r>
  <r>
    <x v="7"/>
    <n v="3"/>
    <n v="3541"/>
    <n v="7"/>
  </r>
  <r>
    <x v="8"/>
    <n v="35"/>
    <n v="15187"/>
    <n v="40"/>
  </r>
  <r>
    <x v="9"/>
    <n v="10"/>
    <n v="11386"/>
    <n v="28"/>
  </r>
  <r>
    <x v="10"/>
    <n v="4"/>
    <n v="1665"/>
    <n v="7"/>
  </r>
  <r>
    <x v="11"/>
    <n v="1"/>
    <n v="1328"/>
    <n v="7"/>
  </r>
  <r>
    <x v="3"/>
    <n v="135"/>
    <n v="79719"/>
    <n v="20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x v="0"/>
    <n v="1"/>
  </r>
  <r>
    <x v="1"/>
    <n v="5"/>
  </r>
  <r>
    <x v="2"/>
    <n v="10"/>
  </r>
  <r>
    <x v="3"/>
    <n v="12"/>
  </r>
  <r>
    <x v="4"/>
    <n v="8"/>
  </r>
  <r>
    <x v="5"/>
    <n v="8"/>
  </r>
  <r>
    <x v="6"/>
    <n v="9"/>
  </r>
  <r>
    <x v="7"/>
    <n v="19"/>
  </r>
  <r>
    <x v="8"/>
    <n v="6"/>
  </r>
  <r>
    <x v="9"/>
    <n v="6"/>
  </r>
  <r>
    <x v="10"/>
    <n v="11"/>
  </r>
  <r>
    <x v="11"/>
    <n v="13"/>
  </r>
  <r>
    <x v="12"/>
    <n v="210"/>
  </r>
  <r>
    <x v="13"/>
    <n v="10"/>
  </r>
  <r>
    <x v="14"/>
    <n v="14"/>
  </r>
  <r>
    <x v="15"/>
    <n v="7"/>
  </r>
  <r>
    <x v="16"/>
    <n v="78"/>
  </r>
  <r>
    <x v="17"/>
    <n v="16"/>
  </r>
  <r>
    <x v="18"/>
    <n v="2"/>
  </r>
  <r>
    <x v="19"/>
    <n v="11"/>
  </r>
  <r>
    <x v="20"/>
    <n v="31"/>
  </r>
  <r>
    <x v="21"/>
    <n v="15"/>
  </r>
  <r>
    <x v="22"/>
    <n v="8"/>
  </r>
  <r>
    <x v="23"/>
    <n v="14"/>
  </r>
  <r>
    <x v="24"/>
    <n v="3"/>
  </r>
  <r>
    <x v="25"/>
    <n v="4"/>
  </r>
  <r>
    <x v="26"/>
    <n v="2"/>
  </r>
  <r>
    <x v="27"/>
    <n v="39"/>
  </r>
  <r>
    <x v="28"/>
    <n v="3"/>
  </r>
  <r>
    <x v="29"/>
    <n v="20"/>
  </r>
  <r>
    <x v="30"/>
    <n v="17"/>
  </r>
  <r>
    <x v="31"/>
    <n v="18"/>
  </r>
  <r>
    <x v="12"/>
    <n v="6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E54E72-4678-4505-BCE6-C7F0914A74DA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F12:G45" firstHeaderRow="1" firstDataRow="1" firstDataCol="1"/>
  <pivotFields count="2">
    <pivotField axis="axisRow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dataField="1" showAll="0"/>
  </pivotFields>
  <rowFields count="1">
    <field x="0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Sum of Sum of Sum of disease_id" fld="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34B7E2-A53D-4F54-BF3A-49E81660498A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2:D25" firstHeaderRow="0" firstDataRow="1" firstDataCol="1"/>
  <pivotFields count="4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um of Sum of test_id" fld="1" baseField="0" baseItem="0"/>
    <dataField name="Sum of Sum of Sum of standard_cost" fld="2" baseField="0" baseItem="0"/>
    <dataField name="Sum of Sum of Sum of department_id" fld="3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3887B0-B1ED-4E20-864D-88532D22F1A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G9" firstHeaderRow="0" firstDataRow="1" firstDataCol="1"/>
  <pivotFields count="7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Sum of Sum of admission_id" fld="1" baseField="0" baseItem="0"/>
    <dataField name="Sum of Sum of Sum of disease_id" fld="2" baseField="0" baseItem="0"/>
    <dataField name="Sum of Sum of Sum of ward_id" fld="3" baseField="0" baseItem="0"/>
    <dataField name="Sum of Sum of Sum of patient_id" fld="4" baseField="0" baseItem="0"/>
    <dataField name="Sum of Sum of Sum of bed_id" fld="5" baseField="0" baseItem="0"/>
    <dataField name="Sum of Sum of Sum of department_id" fld="6" baseField="0" baseItem="0"/>
  </dataFields>
  <chartFormats count="4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5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5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5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58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59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60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6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63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2" format="64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2" format="65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2" format="66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2" format="67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2" format="68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2" format="69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2" format="7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71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2" format="72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2" format="73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2" format="74">
      <pivotArea type="data" outline="0" fieldPosition="0">
        <references count="2">
          <reference field="4294967294" count="1" selected="0">
            <x v="2"/>
          </reference>
          <reference field="0" count="1" selected="0">
            <x v="3"/>
          </reference>
        </references>
      </pivotArea>
    </chartFormat>
    <chartFormat chart="2" format="75">
      <pivotArea type="data" outline="0" fieldPosition="0">
        <references count="2">
          <reference field="4294967294" count="1" selected="0">
            <x v="2"/>
          </reference>
          <reference field="0" count="1" selected="0">
            <x v="4"/>
          </reference>
        </references>
      </pivotArea>
    </chartFormat>
    <chartFormat chart="2" format="76">
      <pivotArea type="data" outline="0" fieldPosition="0">
        <references count="2">
          <reference field="4294967294" count="1" selected="0">
            <x v="2"/>
          </reference>
          <reference field="0" count="1" selected="0">
            <x v="5"/>
          </reference>
        </references>
      </pivotArea>
    </chartFormat>
    <chartFormat chart="2" format="77">
      <pivotArea type="data" outline="0" fieldPosition="0">
        <references count="2">
          <reference field="4294967294" count="1" selected="0">
            <x v="2"/>
          </reference>
          <reference field="0" count="1" selected="0">
            <x v="6"/>
          </reference>
        </references>
      </pivotArea>
    </chartFormat>
    <chartFormat chart="2" format="7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79">
      <pivotArea type="data" outline="0" fieldPosition="0">
        <references count="2">
          <reference field="4294967294" count="1" selected="0">
            <x v="3"/>
          </reference>
          <reference field="0" count="1" selected="0">
            <x v="0"/>
          </reference>
        </references>
      </pivotArea>
    </chartFormat>
    <chartFormat chart="2" format="80">
      <pivotArea type="data" outline="0" fieldPosition="0">
        <references count="2">
          <reference field="4294967294" count="1" selected="0">
            <x v="3"/>
          </reference>
          <reference field="0" count="1" selected="0">
            <x v="1"/>
          </reference>
        </references>
      </pivotArea>
    </chartFormat>
    <chartFormat chart="2" format="81">
      <pivotArea type="data" outline="0" fieldPosition="0">
        <references count="2">
          <reference field="4294967294" count="1" selected="0">
            <x v="3"/>
          </reference>
          <reference field="0" count="1" selected="0">
            <x v="2"/>
          </reference>
        </references>
      </pivotArea>
    </chartFormat>
    <chartFormat chart="2" format="82">
      <pivotArea type="data" outline="0" fieldPosition="0">
        <references count="2">
          <reference field="4294967294" count="1" selected="0">
            <x v="3"/>
          </reference>
          <reference field="0" count="1" selected="0">
            <x v="3"/>
          </reference>
        </references>
      </pivotArea>
    </chartFormat>
    <chartFormat chart="2" format="83">
      <pivotArea type="data" outline="0" fieldPosition="0">
        <references count="2">
          <reference field="4294967294" count="1" selected="0">
            <x v="3"/>
          </reference>
          <reference field="0" count="1" selected="0">
            <x v="4"/>
          </reference>
        </references>
      </pivotArea>
    </chartFormat>
    <chartFormat chart="2" format="84">
      <pivotArea type="data" outline="0" fieldPosition="0">
        <references count="2">
          <reference field="4294967294" count="1" selected="0">
            <x v="3"/>
          </reference>
          <reference field="0" count="1" selected="0">
            <x v="5"/>
          </reference>
        </references>
      </pivotArea>
    </chartFormat>
    <chartFormat chart="2" format="85">
      <pivotArea type="data" outline="0" fieldPosition="0">
        <references count="2">
          <reference field="4294967294" count="1" selected="0">
            <x v="3"/>
          </reference>
          <reference field="0" count="1" selected="0">
            <x v="6"/>
          </reference>
        </references>
      </pivotArea>
    </chartFormat>
    <chartFormat chart="2" format="8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87">
      <pivotArea type="data" outline="0" fieldPosition="0">
        <references count="2">
          <reference field="4294967294" count="1" selected="0">
            <x v="4"/>
          </reference>
          <reference field="0" count="1" selected="0">
            <x v="0"/>
          </reference>
        </references>
      </pivotArea>
    </chartFormat>
    <chartFormat chart="2" format="88">
      <pivotArea type="data" outline="0" fieldPosition="0">
        <references count="2">
          <reference field="4294967294" count="1" selected="0">
            <x v="4"/>
          </reference>
          <reference field="0" count="1" selected="0">
            <x v="1"/>
          </reference>
        </references>
      </pivotArea>
    </chartFormat>
    <chartFormat chart="2" format="89">
      <pivotArea type="data" outline="0" fieldPosition="0">
        <references count="2">
          <reference field="4294967294" count="1" selected="0">
            <x v="4"/>
          </reference>
          <reference field="0" count="1" selected="0">
            <x v="2"/>
          </reference>
        </references>
      </pivotArea>
    </chartFormat>
    <chartFormat chart="2" format="90">
      <pivotArea type="data" outline="0" fieldPosition="0">
        <references count="2">
          <reference field="4294967294" count="1" selected="0">
            <x v="4"/>
          </reference>
          <reference field="0" count="1" selected="0">
            <x v="3"/>
          </reference>
        </references>
      </pivotArea>
    </chartFormat>
    <chartFormat chart="2" format="91">
      <pivotArea type="data" outline="0" fieldPosition="0">
        <references count="2">
          <reference field="4294967294" count="1" selected="0">
            <x v="4"/>
          </reference>
          <reference field="0" count="1" selected="0">
            <x v="4"/>
          </reference>
        </references>
      </pivotArea>
    </chartFormat>
    <chartFormat chart="2" format="92">
      <pivotArea type="data" outline="0" fieldPosition="0">
        <references count="2">
          <reference field="4294967294" count="1" selected="0">
            <x v="4"/>
          </reference>
          <reference field="0" count="1" selected="0">
            <x v="5"/>
          </reference>
        </references>
      </pivotArea>
    </chartFormat>
    <chartFormat chart="2" format="93">
      <pivotArea type="data" outline="0" fieldPosition="0">
        <references count="2">
          <reference field="4294967294" count="1" selected="0">
            <x v="4"/>
          </reference>
          <reference field="0" count="1" selected="0">
            <x v="6"/>
          </reference>
        </references>
      </pivotArea>
    </chartFormat>
    <chartFormat chart="2" format="102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9A81E2-E7C5-43A1-A404-E651087135D8}" name="Table1" displayName="Table1" ref="A1:G9" totalsRowShown="0">
  <autoFilter ref="A1:G9" xr:uid="{7E9A81E2-E7C5-43A1-A404-E651087135D8}"/>
  <tableColumns count="7">
    <tableColumn id="1" xr3:uid="{7146B1B1-F360-4C7B-A9DC-B7E40D020EEC}" name="Row Labels"/>
    <tableColumn id="2" xr3:uid="{0F0F9D79-0EF4-4668-8E51-BBE48D2E7050}" name="Sum of Sum of admission_id"/>
    <tableColumn id="3" xr3:uid="{A07E74FA-CB8C-44C3-B929-E61937DDA4DC}" name="Sum of Sum of disease_id"/>
    <tableColumn id="4" xr3:uid="{EA48D3D9-0F31-4923-8804-1A79B225776F}" name="Sum of Sum of ward_id"/>
    <tableColumn id="5" xr3:uid="{A69E9315-9CF1-4D4A-AC15-D2838BC83AB9}" name="Sum of Sum of patient_id"/>
    <tableColumn id="6" xr3:uid="{844BD52B-4431-4E83-8A43-DD48CBBAEA6A}" name="Sum of Sum of bed_id"/>
    <tableColumn id="7" xr3:uid="{E922D3AD-CD89-4966-9239-884A31C741E2}" name="Sum of Sum of department_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61A2FF-DDB6-4966-9BF1-CBD3F43EF42E}" name="Table2" displayName="Table2" ref="A11:D24" totalsRowShown="0">
  <autoFilter ref="A11:D24" xr:uid="{7261A2FF-DDB6-4966-9BF1-CBD3F43EF42E}"/>
  <tableColumns count="4">
    <tableColumn id="1" xr3:uid="{4C3115EB-A616-439F-B0DD-97415D5D1A06}" name="Row Labels"/>
    <tableColumn id="2" xr3:uid="{520B3500-A7DC-499C-842A-D80B83DD9943}" name="Sum of Sum of test_id"/>
    <tableColumn id="3" xr3:uid="{D27781ED-A649-44ED-85A9-60D8FC0F3B6A}" name="Sum of Sum of standard_cost"/>
    <tableColumn id="4" xr3:uid="{EAB3F341-4A55-4B12-A2D3-4CCC628EB99E}" name="Sum of Sum of department_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3DE6F7-3CB1-4950-86B7-048AF15415C2}" name="Table3" displayName="Table3" ref="F12:G45" totalsRowShown="0">
  <autoFilter ref="F12:G45" xr:uid="{483DE6F7-3CB1-4950-86B7-048AF15415C2}"/>
  <tableColumns count="2">
    <tableColumn id="1" xr3:uid="{2184467B-5092-4F96-BC67-19334AE20F1C}" name="Row Labels"/>
    <tableColumn id="2" xr3:uid="{8ECAEB00-C6F1-4E73-94FE-5E671C7A6A83}" name="Sum of Sum of disease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42D95-C7E6-44A6-852C-3485CA38278D}">
  <dimension ref="A1:R45"/>
  <sheetViews>
    <sheetView topLeftCell="A13" workbookViewId="0">
      <selection activeCell="F14" sqref="F13:G45"/>
    </sheetView>
  </sheetViews>
  <sheetFormatPr defaultRowHeight="14.5" x14ac:dyDescent="0.35"/>
  <cols>
    <col min="1" max="1" width="12.1796875" customWidth="1"/>
    <col min="2" max="2" width="26.36328125" customWidth="1"/>
    <col min="3" max="3" width="27" customWidth="1"/>
    <col min="4" max="4" width="27.453125" customWidth="1"/>
    <col min="5" max="5" width="23.6328125" customWidth="1"/>
    <col min="6" max="6" width="20.81640625" customWidth="1"/>
    <col min="7" max="7" width="27.4531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R1" t="s">
        <v>7</v>
      </c>
    </row>
    <row r="2" spans="1:18" x14ac:dyDescent="0.35">
      <c r="A2">
        <v>2020</v>
      </c>
      <c r="B2">
        <v>167817177</v>
      </c>
      <c r="C2">
        <v>77676</v>
      </c>
      <c r="D2">
        <v>101308</v>
      </c>
      <c r="E2">
        <v>111820808</v>
      </c>
      <c r="F2">
        <v>1458397</v>
      </c>
      <c r="G2">
        <v>23659</v>
      </c>
    </row>
    <row r="3" spans="1:18" x14ac:dyDescent="0.35">
      <c r="A3">
        <v>2021</v>
      </c>
      <c r="B3">
        <v>169790522</v>
      </c>
      <c r="C3">
        <v>78070</v>
      </c>
      <c r="D3">
        <v>101884</v>
      </c>
      <c r="E3">
        <v>113102961</v>
      </c>
      <c r="F3">
        <v>1465710</v>
      </c>
      <c r="G3">
        <v>23772</v>
      </c>
    </row>
    <row r="4" spans="1:18" x14ac:dyDescent="0.35">
      <c r="A4">
        <v>2022</v>
      </c>
      <c r="B4">
        <v>167691260</v>
      </c>
      <c r="C4">
        <v>79196</v>
      </c>
      <c r="D4">
        <v>101387</v>
      </c>
      <c r="E4">
        <v>110459418</v>
      </c>
      <c r="F4">
        <v>1458103</v>
      </c>
      <c r="G4">
        <v>23667</v>
      </c>
    </row>
    <row r="5" spans="1:18" x14ac:dyDescent="0.35">
      <c r="A5">
        <v>2023</v>
      </c>
      <c r="B5">
        <v>166237855</v>
      </c>
      <c r="C5">
        <v>76580</v>
      </c>
      <c r="D5">
        <v>99102</v>
      </c>
      <c r="E5">
        <v>110247502</v>
      </c>
      <c r="F5">
        <v>1425469</v>
      </c>
      <c r="G5">
        <v>23205</v>
      </c>
    </row>
    <row r="6" spans="1:18" x14ac:dyDescent="0.35">
      <c r="A6">
        <v>2024</v>
      </c>
      <c r="B6">
        <v>169762355</v>
      </c>
      <c r="C6">
        <v>79126</v>
      </c>
      <c r="D6">
        <v>102589</v>
      </c>
      <c r="E6">
        <v>112598817</v>
      </c>
      <c r="F6">
        <v>1476289</v>
      </c>
      <c r="G6">
        <v>23925</v>
      </c>
    </row>
    <row r="7" spans="1:18" x14ac:dyDescent="0.35">
      <c r="A7">
        <v>2025</v>
      </c>
      <c r="B7">
        <v>171223331</v>
      </c>
      <c r="C7">
        <v>80045</v>
      </c>
      <c r="D7">
        <v>102409</v>
      </c>
      <c r="E7">
        <v>112853690</v>
      </c>
      <c r="F7">
        <v>1472798</v>
      </c>
      <c r="G7">
        <v>23929</v>
      </c>
    </row>
    <row r="8" spans="1:18" x14ac:dyDescent="0.35">
      <c r="A8" t="s">
        <v>8</v>
      </c>
      <c r="B8">
        <v>1012522500</v>
      </c>
      <c r="C8">
        <v>470693</v>
      </c>
      <c r="D8">
        <v>608679</v>
      </c>
      <c r="E8">
        <v>671083196</v>
      </c>
      <c r="F8">
        <v>8756766</v>
      </c>
      <c r="G8">
        <v>142157</v>
      </c>
    </row>
    <row r="9" spans="1:18" x14ac:dyDescent="0.35">
      <c r="A9" t="s">
        <v>8</v>
      </c>
      <c r="B9">
        <v>2025045000</v>
      </c>
      <c r="C9">
        <v>941386</v>
      </c>
      <c r="D9">
        <v>1217358</v>
      </c>
      <c r="E9">
        <v>1342166392</v>
      </c>
      <c r="F9">
        <v>17513532</v>
      </c>
      <c r="G9">
        <v>284314</v>
      </c>
    </row>
    <row r="11" spans="1:18" x14ac:dyDescent="0.35">
      <c r="A11" t="s">
        <v>0</v>
      </c>
      <c r="B11" t="s">
        <v>9</v>
      </c>
      <c r="C11" t="s">
        <v>10</v>
      </c>
      <c r="D11" t="s">
        <v>6</v>
      </c>
    </row>
    <row r="12" spans="1:18" x14ac:dyDescent="0.35">
      <c r="A12" t="s">
        <v>11</v>
      </c>
      <c r="B12">
        <v>6</v>
      </c>
      <c r="C12">
        <v>2770</v>
      </c>
      <c r="D12">
        <v>8</v>
      </c>
      <c r="F12" t="s">
        <v>0</v>
      </c>
      <c r="G12" t="s">
        <v>2</v>
      </c>
    </row>
    <row r="13" spans="1:18" x14ac:dyDescent="0.35">
      <c r="A13" t="s">
        <v>12</v>
      </c>
      <c r="B13">
        <v>5</v>
      </c>
      <c r="C13">
        <v>4257</v>
      </c>
      <c r="D13">
        <v>8</v>
      </c>
      <c r="F13" t="s">
        <v>13</v>
      </c>
      <c r="G13">
        <v>1</v>
      </c>
    </row>
    <row r="14" spans="1:18" x14ac:dyDescent="0.35">
      <c r="A14" t="s">
        <v>14</v>
      </c>
      <c r="B14">
        <v>2</v>
      </c>
      <c r="C14">
        <v>4852</v>
      </c>
      <c r="D14">
        <v>7</v>
      </c>
      <c r="F14" t="s">
        <v>15</v>
      </c>
      <c r="G14">
        <v>5</v>
      </c>
    </row>
    <row r="15" spans="1:18" x14ac:dyDescent="0.35">
      <c r="A15" t="s">
        <v>8</v>
      </c>
      <c r="B15">
        <v>45</v>
      </c>
      <c r="C15">
        <v>26573</v>
      </c>
      <c r="D15">
        <v>68</v>
      </c>
      <c r="F15" t="s">
        <v>16</v>
      </c>
      <c r="G15">
        <v>10</v>
      </c>
    </row>
    <row r="16" spans="1:18" x14ac:dyDescent="0.35">
      <c r="A16" t="s">
        <v>17</v>
      </c>
      <c r="B16">
        <v>8</v>
      </c>
      <c r="C16">
        <v>4440</v>
      </c>
      <c r="D16">
        <v>8</v>
      </c>
      <c r="F16" t="s">
        <v>18</v>
      </c>
      <c r="G16">
        <v>12</v>
      </c>
    </row>
    <row r="17" spans="1:7" x14ac:dyDescent="0.35">
      <c r="A17" t="s">
        <v>19</v>
      </c>
      <c r="B17">
        <v>9</v>
      </c>
      <c r="C17">
        <v>2796</v>
      </c>
      <c r="D17">
        <v>8</v>
      </c>
      <c r="F17" t="s">
        <v>20</v>
      </c>
      <c r="G17">
        <v>8</v>
      </c>
    </row>
    <row r="18" spans="1:7" x14ac:dyDescent="0.35">
      <c r="A18" t="s">
        <v>21</v>
      </c>
      <c r="B18">
        <v>7</v>
      </c>
      <c r="C18">
        <v>924</v>
      </c>
      <c r="D18">
        <v>8</v>
      </c>
      <c r="F18" t="s">
        <v>22</v>
      </c>
      <c r="G18">
        <v>8</v>
      </c>
    </row>
    <row r="19" spans="1:7" x14ac:dyDescent="0.35">
      <c r="A19" t="s">
        <v>23</v>
      </c>
      <c r="B19">
        <v>3</v>
      </c>
      <c r="C19">
        <v>3541</v>
      </c>
      <c r="D19">
        <v>7</v>
      </c>
      <c r="F19" t="s">
        <v>24</v>
      </c>
      <c r="G19">
        <v>9</v>
      </c>
    </row>
    <row r="20" spans="1:7" x14ac:dyDescent="0.35">
      <c r="A20" t="s">
        <v>25</v>
      </c>
      <c r="B20">
        <v>35</v>
      </c>
      <c r="C20">
        <v>15187</v>
      </c>
      <c r="D20">
        <v>40</v>
      </c>
      <c r="F20" t="s">
        <v>26</v>
      </c>
      <c r="G20">
        <v>19</v>
      </c>
    </row>
    <row r="21" spans="1:7" x14ac:dyDescent="0.35">
      <c r="A21" t="s">
        <v>27</v>
      </c>
      <c r="B21">
        <v>10</v>
      </c>
      <c r="C21">
        <v>11386</v>
      </c>
      <c r="D21">
        <v>28</v>
      </c>
      <c r="F21" t="s">
        <v>28</v>
      </c>
      <c r="G21">
        <v>6</v>
      </c>
    </row>
    <row r="22" spans="1:7" x14ac:dyDescent="0.35">
      <c r="A22" t="s">
        <v>29</v>
      </c>
      <c r="B22">
        <v>4</v>
      </c>
      <c r="C22">
        <v>1665</v>
      </c>
      <c r="D22">
        <v>7</v>
      </c>
      <c r="F22" t="s">
        <v>30</v>
      </c>
      <c r="G22">
        <v>6</v>
      </c>
    </row>
    <row r="23" spans="1:7" x14ac:dyDescent="0.35">
      <c r="A23" t="s">
        <v>31</v>
      </c>
      <c r="B23">
        <v>1</v>
      </c>
      <c r="C23">
        <v>1328</v>
      </c>
      <c r="D23">
        <v>7</v>
      </c>
      <c r="F23" t="s">
        <v>32</v>
      </c>
      <c r="G23">
        <v>11</v>
      </c>
    </row>
    <row r="24" spans="1:7" x14ac:dyDescent="0.35">
      <c r="A24" t="s">
        <v>8</v>
      </c>
      <c r="B24">
        <v>135</v>
      </c>
      <c r="C24">
        <v>79719</v>
      </c>
      <c r="D24">
        <v>204</v>
      </c>
      <c r="F24" t="s">
        <v>33</v>
      </c>
      <c r="G24">
        <v>13</v>
      </c>
    </row>
    <row r="25" spans="1:7" x14ac:dyDescent="0.35">
      <c r="F25" t="s">
        <v>8</v>
      </c>
      <c r="G25">
        <v>210</v>
      </c>
    </row>
    <row r="26" spans="1:7" x14ac:dyDescent="0.35">
      <c r="F26" t="s">
        <v>34</v>
      </c>
      <c r="G26">
        <v>10</v>
      </c>
    </row>
    <row r="27" spans="1:7" x14ac:dyDescent="0.35">
      <c r="F27" t="s">
        <v>35</v>
      </c>
      <c r="G27">
        <v>14</v>
      </c>
    </row>
    <row r="28" spans="1:7" x14ac:dyDescent="0.35">
      <c r="F28" t="s">
        <v>36</v>
      </c>
      <c r="G28">
        <v>7</v>
      </c>
    </row>
    <row r="29" spans="1:7" x14ac:dyDescent="0.35">
      <c r="F29" t="s">
        <v>37</v>
      </c>
      <c r="G29">
        <v>78</v>
      </c>
    </row>
    <row r="30" spans="1:7" x14ac:dyDescent="0.35">
      <c r="F30" t="s">
        <v>38</v>
      </c>
      <c r="G30">
        <v>16</v>
      </c>
    </row>
    <row r="31" spans="1:7" x14ac:dyDescent="0.35">
      <c r="F31" t="s">
        <v>39</v>
      </c>
      <c r="G31">
        <v>2</v>
      </c>
    </row>
    <row r="32" spans="1:7" x14ac:dyDescent="0.35">
      <c r="F32" t="s">
        <v>40</v>
      </c>
      <c r="G32">
        <v>11</v>
      </c>
    </row>
    <row r="33" spans="6:7" x14ac:dyDescent="0.35">
      <c r="F33" t="s">
        <v>41</v>
      </c>
      <c r="G33">
        <v>31</v>
      </c>
    </row>
    <row r="34" spans="6:7" x14ac:dyDescent="0.35">
      <c r="F34" t="s">
        <v>42</v>
      </c>
      <c r="G34">
        <v>15</v>
      </c>
    </row>
    <row r="35" spans="6:7" x14ac:dyDescent="0.35">
      <c r="F35" t="s">
        <v>43</v>
      </c>
      <c r="G35">
        <v>8</v>
      </c>
    </row>
    <row r="36" spans="6:7" x14ac:dyDescent="0.35">
      <c r="F36" t="s">
        <v>44</v>
      </c>
      <c r="G36">
        <v>14</v>
      </c>
    </row>
    <row r="37" spans="6:7" x14ac:dyDescent="0.35">
      <c r="F37" t="s">
        <v>45</v>
      </c>
      <c r="G37">
        <v>3</v>
      </c>
    </row>
    <row r="38" spans="6:7" x14ac:dyDescent="0.35">
      <c r="F38" t="s">
        <v>46</v>
      </c>
      <c r="G38">
        <v>4</v>
      </c>
    </row>
    <row r="39" spans="6:7" x14ac:dyDescent="0.35">
      <c r="F39" t="s">
        <v>47</v>
      </c>
      <c r="G39">
        <v>2</v>
      </c>
    </row>
    <row r="40" spans="6:7" x14ac:dyDescent="0.35">
      <c r="F40" t="s">
        <v>48</v>
      </c>
      <c r="G40">
        <v>39</v>
      </c>
    </row>
    <row r="41" spans="6:7" x14ac:dyDescent="0.35">
      <c r="F41" t="s">
        <v>49</v>
      </c>
      <c r="G41">
        <v>3</v>
      </c>
    </row>
    <row r="42" spans="6:7" x14ac:dyDescent="0.35">
      <c r="F42" t="s">
        <v>50</v>
      </c>
      <c r="G42">
        <v>20</v>
      </c>
    </row>
    <row r="43" spans="6:7" x14ac:dyDescent="0.35">
      <c r="F43" t="s">
        <v>51</v>
      </c>
      <c r="G43">
        <v>17</v>
      </c>
    </row>
    <row r="44" spans="6:7" x14ac:dyDescent="0.35">
      <c r="F44" t="s">
        <v>52</v>
      </c>
      <c r="G44">
        <v>18</v>
      </c>
    </row>
    <row r="45" spans="6:7" x14ac:dyDescent="0.35">
      <c r="F45" t="s">
        <v>8</v>
      </c>
      <c r="G45">
        <v>630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E5149-54DF-4106-A6A0-48806C57A2F0}">
  <dimension ref="A1:G45"/>
  <sheetViews>
    <sheetView topLeftCell="C1" workbookViewId="0">
      <selection activeCell="G14" sqref="G14"/>
    </sheetView>
  </sheetViews>
  <sheetFormatPr defaultRowHeight="14.5" x14ac:dyDescent="0.35"/>
  <cols>
    <col min="1" max="1" width="12.453125" bestFit="1" customWidth="1"/>
    <col min="2" max="2" width="31" bestFit="1" customWidth="1"/>
    <col min="3" max="3" width="28.6328125" bestFit="1" customWidth="1"/>
    <col min="4" max="4" width="26.26953125" bestFit="1" customWidth="1"/>
    <col min="5" max="5" width="28.1796875" bestFit="1" customWidth="1"/>
    <col min="6" max="6" width="25.36328125" bestFit="1" customWidth="1"/>
    <col min="7" max="7" width="32.08984375" bestFit="1" customWidth="1"/>
  </cols>
  <sheetData>
    <row r="1" spans="1:7" x14ac:dyDescent="0.35">
      <c r="A1" s="1" t="s">
        <v>0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</row>
    <row r="2" spans="1:7" x14ac:dyDescent="0.35">
      <c r="A2" s="2">
        <v>2020</v>
      </c>
      <c r="B2" s="3">
        <v>167817177</v>
      </c>
      <c r="C2" s="3">
        <v>77676</v>
      </c>
      <c r="D2" s="3">
        <v>101308</v>
      </c>
      <c r="E2" s="3">
        <v>111820808</v>
      </c>
      <c r="F2" s="3">
        <v>1458397</v>
      </c>
      <c r="G2" s="3">
        <v>23659</v>
      </c>
    </row>
    <row r="3" spans="1:7" x14ac:dyDescent="0.35">
      <c r="A3" s="2">
        <v>2021</v>
      </c>
      <c r="B3" s="3">
        <v>169790522</v>
      </c>
      <c r="C3" s="3">
        <v>78070</v>
      </c>
      <c r="D3" s="3">
        <v>101884</v>
      </c>
      <c r="E3" s="3">
        <v>113102961</v>
      </c>
      <c r="F3" s="3">
        <v>1465710</v>
      </c>
      <c r="G3" s="3">
        <v>23772</v>
      </c>
    </row>
    <row r="4" spans="1:7" x14ac:dyDescent="0.35">
      <c r="A4" s="2">
        <v>2022</v>
      </c>
      <c r="B4" s="3">
        <v>167691260</v>
      </c>
      <c r="C4" s="3">
        <v>79196</v>
      </c>
      <c r="D4" s="3">
        <v>101387</v>
      </c>
      <c r="E4" s="3">
        <v>110459418</v>
      </c>
      <c r="F4" s="3">
        <v>1458103</v>
      </c>
      <c r="G4" s="3">
        <v>23667</v>
      </c>
    </row>
    <row r="5" spans="1:7" x14ac:dyDescent="0.35">
      <c r="A5" s="2">
        <v>2023</v>
      </c>
      <c r="B5" s="3">
        <v>166237855</v>
      </c>
      <c r="C5" s="3">
        <v>76580</v>
      </c>
      <c r="D5" s="3">
        <v>99102</v>
      </c>
      <c r="E5" s="3">
        <v>110247502</v>
      </c>
      <c r="F5" s="3">
        <v>1425469</v>
      </c>
      <c r="G5" s="3">
        <v>23205</v>
      </c>
    </row>
    <row r="6" spans="1:7" x14ac:dyDescent="0.35">
      <c r="A6" s="2">
        <v>2024</v>
      </c>
      <c r="B6" s="3">
        <v>169762355</v>
      </c>
      <c r="C6" s="3">
        <v>79126</v>
      </c>
      <c r="D6" s="3">
        <v>102589</v>
      </c>
      <c r="E6" s="3">
        <v>112598817</v>
      </c>
      <c r="F6" s="3">
        <v>1476289</v>
      </c>
      <c r="G6" s="3">
        <v>23925</v>
      </c>
    </row>
    <row r="7" spans="1:7" x14ac:dyDescent="0.35">
      <c r="A7" s="2">
        <v>2025</v>
      </c>
      <c r="B7" s="3">
        <v>171223331</v>
      </c>
      <c r="C7" s="3">
        <v>80045</v>
      </c>
      <c r="D7" s="3">
        <v>102409</v>
      </c>
      <c r="E7" s="3">
        <v>112853690</v>
      </c>
      <c r="F7" s="3">
        <v>1472798</v>
      </c>
      <c r="G7" s="3">
        <v>23929</v>
      </c>
    </row>
    <row r="8" spans="1:7" x14ac:dyDescent="0.35">
      <c r="A8" s="2" t="s">
        <v>8</v>
      </c>
      <c r="B8" s="3">
        <v>3037567500</v>
      </c>
      <c r="C8" s="3">
        <v>1412079</v>
      </c>
      <c r="D8" s="3">
        <v>1826037</v>
      </c>
      <c r="E8" s="3">
        <v>2013249588</v>
      </c>
      <c r="F8" s="3">
        <v>26270298</v>
      </c>
      <c r="G8" s="3">
        <v>426471</v>
      </c>
    </row>
    <row r="9" spans="1:7" x14ac:dyDescent="0.35">
      <c r="A9" s="2" t="s">
        <v>8</v>
      </c>
      <c r="B9" s="3">
        <v>4050090000</v>
      </c>
      <c r="C9" s="3">
        <v>1882772</v>
      </c>
      <c r="D9" s="3">
        <v>2434716</v>
      </c>
      <c r="E9" s="3">
        <v>2684332784</v>
      </c>
      <c r="F9" s="3">
        <v>35027064</v>
      </c>
      <c r="G9" s="3">
        <v>568628</v>
      </c>
    </row>
    <row r="12" spans="1:7" x14ac:dyDescent="0.35">
      <c r="A12" s="1" t="s">
        <v>0</v>
      </c>
      <c r="B12" t="s">
        <v>59</v>
      </c>
      <c r="C12" t="s">
        <v>60</v>
      </c>
      <c r="D12" t="s">
        <v>58</v>
      </c>
      <c r="F12" s="1" t="s">
        <v>0</v>
      </c>
      <c r="G12" t="s">
        <v>54</v>
      </c>
    </row>
    <row r="13" spans="1:7" x14ac:dyDescent="0.35">
      <c r="A13" s="2" t="s">
        <v>11</v>
      </c>
      <c r="B13" s="3">
        <v>6</v>
      </c>
      <c r="C13" s="3">
        <v>2770</v>
      </c>
      <c r="D13" s="3">
        <v>8</v>
      </c>
      <c r="F13" s="2" t="s">
        <v>13</v>
      </c>
      <c r="G13" s="3">
        <v>1</v>
      </c>
    </row>
    <row r="14" spans="1:7" x14ac:dyDescent="0.35">
      <c r="A14" s="2" t="s">
        <v>12</v>
      </c>
      <c r="B14" s="3">
        <v>5</v>
      </c>
      <c r="C14" s="3">
        <v>4257</v>
      </c>
      <c r="D14" s="3">
        <v>8</v>
      </c>
      <c r="F14" s="2" t="s">
        <v>15</v>
      </c>
      <c r="G14" s="3">
        <v>5</v>
      </c>
    </row>
    <row r="15" spans="1:7" x14ac:dyDescent="0.35">
      <c r="A15" s="2" t="s">
        <v>14</v>
      </c>
      <c r="B15" s="3">
        <v>2</v>
      </c>
      <c r="C15" s="3">
        <v>4852</v>
      </c>
      <c r="D15" s="3">
        <v>7</v>
      </c>
      <c r="F15" s="2" t="s">
        <v>16</v>
      </c>
      <c r="G15" s="3">
        <v>10</v>
      </c>
    </row>
    <row r="16" spans="1:7" x14ac:dyDescent="0.35">
      <c r="A16" s="2" t="s">
        <v>8</v>
      </c>
      <c r="B16" s="3">
        <v>180</v>
      </c>
      <c r="C16" s="3">
        <v>106292</v>
      </c>
      <c r="D16" s="3">
        <v>272</v>
      </c>
      <c r="F16" s="2" t="s">
        <v>18</v>
      </c>
      <c r="G16" s="3">
        <v>12</v>
      </c>
    </row>
    <row r="17" spans="1:7" x14ac:dyDescent="0.35">
      <c r="A17" s="2" t="s">
        <v>17</v>
      </c>
      <c r="B17" s="3">
        <v>8</v>
      </c>
      <c r="C17" s="3">
        <v>4440</v>
      </c>
      <c r="D17" s="3">
        <v>8</v>
      </c>
      <c r="F17" s="2" t="s">
        <v>20</v>
      </c>
      <c r="G17" s="3">
        <v>8</v>
      </c>
    </row>
    <row r="18" spans="1:7" x14ac:dyDescent="0.35">
      <c r="A18" s="2" t="s">
        <v>19</v>
      </c>
      <c r="B18" s="3">
        <v>9</v>
      </c>
      <c r="C18" s="3">
        <v>2796</v>
      </c>
      <c r="D18" s="3">
        <v>8</v>
      </c>
      <c r="F18" s="2" t="s">
        <v>22</v>
      </c>
      <c r="G18" s="3">
        <v>8</v>
      </c>
    </row>
    <row r="19" spans="1:7" x14ac:dyDescent="0.35">
      <c r="A19" s="2" t="s">
        <v>21</v>
      </c>
      <c r="B19" s="3">
        <v>7</v>
      </c>
      <c r="C19" s="3">
        <v>924</v>
      </c>
      <c r="D19" s="3">
        <v>8</v>
      </c>
      <c r="F19" s="2" t="s">
        <v>24</v>
      </c>
      <c r="G19" s="3">
        <v>9</v>
      </c>
    </row>
    <row r="20" spans="1:7" x14ac:dyDescent="0.35">
      <c r="A20" s="2" t="s">
        <v>23</v>
      </c>
      <c r="B20" s="3">
        <v>3</v>
      </c>
      <c r="C20" s="3">
        <v>3541</v>
      </c>
      <c r="D20" s="3">
        <v>7</v>
      </c>
      <c r="F20" s="2" t="s">
        <v>26</v>
      </c>
      <c r="G20" s="3">
        <v>19</v>
      </c>
    </row>
    <row r="21" spans="1:7" x14ac:dyDescent="0.35">
      <c r="A21" s="2" t="s">
        <v>25</v>
      </c>
      <c r="B21" s="3">
        <v>35</v>
      </c>
      <c r="C21" s="3">
        <v>15187</v>
      </c>
      <c r="D21" s="3">
        <v>40</v>
      </c>
      <c r="F21" s="2" t="s">
        <v>28</v>
      </c>
      <c r="G21" s="3">
        <v>6</v>
      </c>
    </row>
    <row r="22" spans="1:7" x14ac:dyDescent="0.35">
      <c r="A22" s="2" t="s">
        <v>27</v>
      </c>
      <c r="B22" s="3">
        <v>10</v>
      </c>
      <c r="C22" s="3">
        <v>11386</v>
      </c>
      <c r="D22" s="3">
        <v>28</v>
      </c>
      <c r="F22" s="2" t="s">
        <v>30</v>
      </c>
      <c r="G22" s="3">
        <v>6</v>
      </c>
    </row>
    <row r="23" spans="1:7" x14ac:dyDescent="0.35">
      <c r="A23" s="2" t="s">
        <v>29</v>
      </c>
      <c r="B23" s="3">
        <v>4</v>
      </c>
      <c r="C23" s="3">
        <v>1665</v>
      </c>
      <c r="D23" s="3">
        <v>7</v>
      </c>
      <c r="F23" s="2" t="s">
        <v>32</v>
      </c>
      <c r="G23" s="3">
        <v>11</v>
      </c>
    </row>
    <row r="24" spans="1:7" x14ac:dyDescent="0.35">
      <c r="A24" s="2" t="s">
        <v>31</v>
      </c>
      <c r="B24" s="3">
        <v>1</v>
      </c>
      <c r="C24" s="3">
        <v>1328</v>
      </c>
      <c r="D24" s="3">
        <v>7</v>
      </c>
      <c r="F24" s="2" t="s">
        <v>33</v>
      </c>
      <c r="G24" s="3">
        <v>13</v>
      </c>
    </row>
    <row r="25" spans="1:7" x14ac:dyDescent="0.35">
      <c r="A25" s="2" t="s">
        <v>8</v>
      </c>
      <c r="B25" s="3">
        <v>270</v>
      </c>
      <c r="C25" s="3">
        <v>159438</v>
      </c>
      <c r="D25" s="3">
        <v>408</v>
      </c>
      <c r="F25" s="2" t="s">
        <v>8</v>
      </c>
      <c r="G25" s="3">
        <v>840</v>
      </c>
    </row>
    <row r="26" spans="1:7" x14ac:dyDescent="0.35">
      <c r="F26" s="2" t="s">
        <v>34</v>
      </c>
      <c r="G26" s="3">
        <v>10</v>
      </c>
    </row>
    <row r="27" spans="1:7" x14ac:dyDescent="0.35">
      <c r="F27" s="2" t="s">
        <v>35</v>
      </c>
      <c r="G27" s="3">
        <v>14</v>
      </c>
    </row>
    <row r="28" spans="1:7" x14ac:dyDescent="0.35">
      <c r="F28" s="2" t="s">
        <v>36</v>
      </c>
      <c r="G28" s="3">
        <v>7</v>
      </c>
    </row>
    <row r="29" spans="1:7" x14ac:dyDescent="0.35">
      <c r="F29" s="2" t="s">
        <v>37</v>
      </c>
      <c r="G29" s="3">
        <v>78</v>
      </c>
    </row>
    <row r="30" spans="1:7" x14ac:dyDescent="0.35">
      <c r="F30" s="2" t="s">
        <v>38</v>
      </c>
      <c r="G30" s="3">
        <v>16</v>
      </c>
    </row>
    <row r="31" spans="1:7" x14ac:dyDescent="0.35">
      <c r="F31" s="2" t="s">
        <v>39</v>
      </c>
      <c r="G31" s="3">
        <v>2</v>
      </c>
    </row>
    <row r="32" spans="1:7" x14ac:dyDescent="0.35">
      <c r="F32" s="2" t="s">
        <v>40</v>
      </c>
      <c r="G32" s="3">
        <v>11</v>
      </c>
    </row>
    <row r="33" spans="6:7" x14ac:dyDescent="0.35">
      <c r="F33" s="2" t="s">
        <v>41</v>
      </c>
      <c r="G33" s="3">
        <v>31</v>
      </c>
    </row>
    <row r="34" spans="6:7" x14ac:dyDescent="0.35">
      <c r="F34" s="2" t="s">
        <v>42</v>
      </c>
      <c r="G34" s="3">
        <v>15</v>
      </c>
    </row>
    <row r="35" spans="6:7" x14ac:dyDescent="0.35">
      <c r="F35" s="2" t="s">
        <v>43</v>
      </c>
      <c r="G35" s="3">
        <v>8</v>
      </c>
    </row>
    <row r="36" spans="6:7" x14ac:dyDescent="0.35">
      <c r="F36" s="2" t="s">
        <v>44</v>
      </c>
      <c r="G36" s="3">
        <v>14</v>
      </c>
    </row>
    <row r="37" spans="6:7" x14ac:dyDescent="0.35">
      <c r="F37" s="2" t="s">
        <v>45</v>
      </c>
      <c r="G37" s="3">
        <v>3</v>
      </c>
    </row>
    <row r="38" spans="6:7" x14ac:dyDescent="0.35">
      <c r="F38" s="2" t="s">
        <v>46</v>
      </c>
      <c r="G38" s="3">
        <v>4</v>
      </c>
    </row>
    <row r="39" spans="6:7" x14ac:dyDescent="0.35">
      <c r="F39" s="2" t="s">
        <v>47</v>
      </c>
      <c r="G39" s="3">
        <v>2</v>
      </c>
    </row>
    <row r="40" spans="6:7" x14ac:dyDescent="0.35">
      <c r="F40" s="2" t="s">
        <v>48</v>
      </c>
      <c r="G40" s="3">
        <v>39</v>
      </c>
    </row>
    <row r="41" spans="6:7" x14ac:dyDescent="0.35">
      <c r="F41" s="2" t="s">
        <v>49</v>
      </c>
      <c r="G41" s="3">
        <v>3</v>
      </c>
    </row>
    <row r="42" spans="6:7" x14ac:dyDescent="0.35">
      <c r="F42" s="2" t="s">
        <v>50</v>
      </c>
      <c r="G42" s="3">
        <v>20</v>
      </c>
    </row>
    <row r="43" spans="6:7" x14ac:dyDescent="0.35">
      <c r="F43" s="2" t="s">
        <v>51</v>
      </c>
      <c r="G43" s="3">
        <v>17</v>
      </c>
    </row>
    <row r="44" spans="6:7" x14ac:dyDescent="0.35">
      <c r="F44" s="2" t="s">
        <v>52</v>
      </c>
      <c r="G44" s="3">
        <v>18</v>
      </c>
    </row>
    <row r="45" spans="6:7" x14ac:dyDescent="0.35">
      <c r="F45" s="2" t="s">
        <v>8</v>
      </c>
      <c r="G45" s="3">
        <v>1260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F5E5B-2A5E-425F-B221-9D72EFD66E5C}">
  <dimension ref="A1:T27"/>
  <sheetViews>
    <sheetView tabSelected="1" workbookViewId="0">
      <selection activeCell="A5" sqref="A5:T27"/>
    </sheetView>
  </sheetViews>
  <sheetFormatPr defaultRowHeight="14.5" x14ac:dyDescent="0.35"/>
  <sheetData>
    <row r="1" spans="1:20" x14ac:dyDescent="0.35">
      <c r="A1" s="6" t="s">
        <v>61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x14ac:dyDescent="0.3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 x14ac:dyDescent="0.3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 x14ac:dyDescent="0.3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 x14ac:dyDescent="0.3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 x14ac:dyDescent="0.3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 x14ac:dyDescent="0.3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 x14ac:dyDescent="0.3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 x14ac:dyDescent="0.3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 x14ac:dyDescent="0.3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 x14ac:dyDescent="0.3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 x14ac:dyDescent="0.3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</sheetData>
  <mergeCells count="2">
    <mergeCell ref="A1:T4"/>
    <mergeCell ref="A5:T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MSI-1</dc:creator>
  <cp:lastModifiedBy>Devang Bhardwaj</cp:lastModifiedBy>
  <dcterms:created xsi:type="dcterms:W3CDTF">2026-10-16T08:21:17Z</dcterms:created>
  <dcterms:modified xsi:type="dcterms:W3CDTF">2026-10-16T08:31:07Z</dcterms:modified>
</cp:coreProperties>
</file>