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n\Documents\mca ai\iiot\"/>
    </mc:Choice>
  </mc:AlternateContent>
  <xr:revisionPtr revIDLastSave="0" documentId="8_{2CB1509D-FFF9-462C-AAB4-82252821D29D}" xr6:coauthVersionLast="47" xr6:coauthVersionMax="47" xr10:uidLastSave="{00000000-0000-0000-0000-000000000000}"/>
  <bookViews>
    <workbookView xWindow="-110" yWindow="-110" windowWidth="19420" windowHeight="12220" activeTab="2" xr2:uid="{9905B5C7-2DFC-4783-84B4-82BBF94028C4}"/>
  </bookViews>
  <sheets>
    <sheet name="data" sheetId="1" r:id="rId1"/>
    <sheet name="pivot table" sheetId="2" r:id="rId2"/>
    <sheet name="dashboard" sheetId="3" r:id="rId3"/>
  </sheets>
  <calcPr calcId="191029"/>
  <pivotCaches>
    <pivotCache cacheId="9" r:id="rId4"/>
    <pivotCache cacheId="10" r:id="rId5"/>
    <pivotCache cacheId="11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<sst xmlns="http://schemas.openxmlformats.org/spreadsheetml/2006/main" count="155" uniqueCount="73">
  <si>
    <t>Row Labels</t>
  </si>
  <si>
    <t>Sum of admission_id</t>
  </si>
  <si>
    <t>Sum of disease_id</t>
  </si>
  <si>
    <t>Sum of patient_id</t>
  </si>
  <si>
    <t>Sum of ward_id</t>
  </si>
  <si>
    <t>Sum of department_id</t>
  </si>
  <si>
    <t>Sum of bed_id</t>
  </si>
  <si>
    <t>Grand Total</t>
  </si>
  <si>
    <t>Sum of test_id</t>
  </si>
  <si>
    <t>Sum of standard_cost</t>
  </si>
  <si>
    <t>Blood Sugar</t>
  </si>
  <si>
    <t>Pathology</t>
  </si>
  <si>
    <t>Complete Blood Count</t>
  </si>
  <si>
    <t>CT Scan Brain</t>
  </si>
  <si>
    <t>Radiology</t>
  </si>
  <si>
    <t>Kidney Function Test</t>
  </si>
  <si>
    <t>Lipid Profile</t>
  </si>
  <si>
    <t>Liver Function Test</t>
  </si>
  <si>
    <t>MRI Spine</t>
  </si>
  <si>
    <t>Ultrasound Abdomen</t>
  </si>
  <si>
    <t>X-Ray Chest</t>
  </si>
  <si>
    <t>Acute Myocardial Infarction</t>
  </si>
  <si>
    <t>Cardiac</t>
  </si>
  <si>
    <t>Acute Respiratory Distress</t>
  </si>
  <si>
    <t>Respiratory</t>
  </si>
  <si>
    <t>Anemia</t>
  </si>
  <si>
    <t>Hematological</t>
  </si>
  <si>
    <t>Appendicitis</t>
  </si>
  <si>
    <t>Surgical</t>
  </si>
  <si>
    <t>Chronic Kidney Disease</t>
  </si>
  <si>
    <t>Renal</t>
  </si>
  <si>
    <t>Chronic Obstructive Pulmonary Disease</t>
  </si>
  <si>
    <t>COVID-19</t>
  </si>
  <si>
    <t>Infectious</t>
  </si>
  <si>
    <t>Diabetes Mellitus</t>
  </si>
  <si>
    <t>Endocrine</t>
  </si>
  <si>
    <t>Fracture Femur</t>
  </si>
  <si>
    <t>Orthopedic</t>
  </si>
  <si>
    <t>Gallstones</t>
  </si>
  <si>
    <t>Hernia</t>
  </si>
  <si>
    <t>Hypertension</t>
  </si>
  <si>
    <t>Neonatal Jaundice</t>
  </si>
  <si>
    <t>Pediatric</t>
  </si>
  <si>
    <t>Pneumonia</t>
  </si>
  <si>
    <t>Road Traffic Accident</t>
  </si>
  <si>
    <t>Trauma</t>
  </si>
  <si>
    <t>Sepsis</t>
  </si>
  <si>
    <t>Stroke</t>
  </si>
  <si>
    <t>Neurological</t>
  </si>
  <si>
    <t>Tuberculosis</t>
  </si>
  <si>
    <t>Urinary Tract Infection</t>
  </si>
  <si>
    <t>Viral Fever</t>
  </si>
  <si>
    <t>Dashboard of disease analytics</t>
  </si>
  <si>
    <t>Sum of Sum of admission_id</t>
  </si>
  <si>
    <t>Sum of Sum of disease_id</t>
  </si>
  <si>
    <t>Sum of Sum of ward_id</t>
  </si>
  <si>
    <t>Sum of Sum of patient_id</t>
  </si>
  <si>
    <t>Sum of Sum of bed_id</t>
  </si>
  <si>
    <t>Sum of Sum of department_id</t>
  </si>
  <si>
    <t>admissions</t>
  </si>
  <si>
    <t>Sum of Sum of test_id</t>
  </si>
  <si>
    <t>Sum of Sum of standard_cost</t>
  </si>
  <si>
    <t>diagnostics</t>
  </si>
  <si>
    <t>disease</t>
  </si>
  <si>
    <t>Row Lab+A32:C65els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</si>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</sst>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1"/>
      <name val="Mongolian Baiti"/>
      <family val="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35" borderId="10" xfId="0" applyFont="1" applyFill="1" applyBorder="1"/>
    <xf numFmtId="0" fontId="0" fillId="35" borderId="10" xfId="0" applyFill="1" applyBorder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dashboard.xlsx]pivot table!PivotTable1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Sum of Sum of admission_id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table'!$B$2:$B$9</c:f>
              <c:numCache>
                <c:formatCode>General</c:formatCode>
                <c:ptCount val="7"/>
                <c:pt idx="0">
                  <c:v>167817177</c:v>
                </c:pt>
                <c:pt idx="1">
                  <c:v>169790522</c:v>
                </c:pt>
                <c:pt idx="2">
                  <c:v>167691260</c:v>
                </c:pt>
                <c:pt idx="3">
                  <c:v>166237855</c:v>
                </c:pt>
                <c:pt idx="4">
                  <c:v>169762355</c:v>
                </c:pt>
                <c:pt idx="5">
                  <c:v>171223331</c:v>
                </c:pt>
                <c:pt idx="6">
                  <c:v>1012522500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1-413E-A4C0-C9F9AD8075D1}"/>
            </c:ext>
          </c:extLst>
        </c:ser>
        <c:ser>
          <c:idx val="1"/>
          <c:order val="1"/>
          <c:tx>
            <c:strRef>
              <c:f>'pivot table'!$C$1</c:f>
              <c:strCache>
                <c:ptCount val="1"/>
                <c:pt idx="0">
                  <c:v>Sum of Sum of disease_id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table'!$C$2:$C$9</c:f>
              <c:numCache>
                <c:formatCode>General</c:formatCode>
                <c:ptCount val="7"/>
                <c:pt idx="0">
                  <c:v>77676</c:v>
                </c:pt>
                <c:pt idx="1">
                  <c:v>78070</c:v>
                </c:pt>
                <c:pt idx="2">
                  <c:v>79196</c:v>
                </c:pt>
                <c:pt idx="3">
                  <c:v>76580</c:v>
                </c:pt>
                <c:pt idx="4">
                  <c:v>79126</c:v>
                </c:pt>
                <c:pt idx="5">
                  <c:v>80045</c:v>
                </c:pt>
                <c:pt idx="6">
                  <c:v>470693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31-413E-A4C0-C9F9AD8075D1}"/>
            </c:ext>
          </c:extLst>
        </c:ser>
        <c:ser>
          <c:idx val="2"/>
          <c:order val="2"/>
          <c:tx>
            <c:strRef>
              <c:f>'pivot table'!$D$1</c:f>
              <c:strCache>
                <c:ptCount val="1"/>
                <c:pt idx="0">
                  <c:v>Sum of Sum of ward_id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table'!$D$2:$D$9</c:f>
              <c:numCache>
                <c:formatCode>General</c:formatCode>
                <c:ptCount val="7"/>
                <c:pt idx="0">
                  <c:v>101308</c:v>
                </c:pt>
                <c:pt idx="1">
                  <c:v>101884</c:v>
                </c:pt>
                <c:pt idx="2">
                  <c:v>101387</c:v>
                </c:pt>
                <c:pt idx="3">
                  <c:v>99102</c:v>
                </c:pt>
                <c:pt idx="4">
                  <c:v>102589</c:v>
                </c:pt>
                <c:pt idx="5">
                  <c:v>102409</c:v>
                </c:pt>
                <c:pt idx="6">
                  <c:v>608679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31-413E-A4C0-C9F9AD8075D1}"/>
            </c:ext>
          </c:extLst>
        </c:ser>
        <c:ser>
          <c:idx val="3"/>
          <c:order val="3"/>
          <c:tx>
            <c:strRef>
              <c:f>'pivot table'!$E$1</c:f>
              <c:strCache>
                <c:ptCount val="1"/>
                <c:pt idx="0">
                  <c:v>Sum of Sum of patient_id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table'!$E$2:$E$9</c:f>
              <c:numCache>
                <c:formatCode>General</c:formatCode>
                <c:ptCount val="7"/>
                <c:pt idx="0">
                  <c:v>111820808</c:v>
                </c:pt>
                <c:pt idx="1">
                  <c:v>113102961</c:v>
                </c:pt>
                <c:pt idx="2">
                  <c:v>110459418</c:v>
                </c:pt>
                <c:pt idx="3">
                  <c:v>110247502</c:v>
                </c:pt>
                <c:pt idx="4">
                  <c:v>112598817</c:v>
                </c:pt>
                <c:pt idx="5">
                  <c:v>112853690</c:v>
                </c:pt>
                <c:pt idx="6">
                  <c:v>671083196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31-413E-A4C0-C9F9AD8075D1}"/>
            </c:ext>
          </c:extLst>
        </c:ser>
        <c:ser>
          <c:idx val="4"/>
          <c:order val="4"/>
          <c:tx>
            <c:strRef>
              <c:f>'pivot table'!$F$1</c:f>
              <c:strCache>
                <c:ptCount val="1"/>
                <c:pt idx="0">
                  <c:v>Sum of Sum of bed_id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table'!$F$2:$F$9</c:f>
              <c:numCache>
                <c:formatCode>General</c:formatCode>
                <c:ptCount val="7"/>
                <c:pt idx="0">
                  <c:v>1458397</c:v>
                </c:pt>
                <c:pt idx="1">
                  <c:v>1465710</c:v>
                </c:pt>
                <c:pt idx="2">
                  <c:v>1458103</c:v>
                </c:pt>
                <c:pt idx="3">
                  <c:v>1425469</c:v>
                </c:pt>
                <c:pt idx="4">
                  <c:v>1476289</c:v>
                </c:pt>
                <c:pt idx="5">
                  <c:v>1472798</c:v>
                </c:pt>
                <c:pt idx="6">
                  <c:v>8756766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31-413E-A4C0-C9F9AD8075D1}"/>
            </c:ext>
          </c:extLst>
        </c:ser>
        <c:ser>
          <c:idx val="5"/>
          <c:order val="5"/>
          <c:tx>
            <c:strRef>
              <c:f>'pivot table'!$G$1</c:f>
              <c:strCache>
                <c:ptCount val="1"/>
                <c:pt idx="0">
                  <c:v>Sum of Sum of department_id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table'!$A$2:$A$9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Grand Total</c:v>
                </c:pt>
              </c:strCache>
            </c:strRef>
          </c:cat>
          <c:val>
            <c:numRef>
              <c:f>'pivot table'!$G$2:$G$9</c:f>
              <c:numCache>
                <c:formatCode>General</c:formatCode>
                <c:ptCount val="7"/>
                <c:pt idx="0">
                  <c:v>23659</c:v>
                </c:pt>
                <c:pt idx="1">
                  <c:v>23772</c:v>
                </c:pt>
                <c:pt idx="2">
                  <c:v>23667</c:v>
                </c:pt>
                <c:pt idx="3">
                  <c:v>23205</c:v>
                </c:pt>
                <c:pt idx="4">
                  <c:v>23925</c:v>
                </c:pt>
                <c:pt idx="5">
                  <c:v>23929</c:v>
                </c:pt>
                <c:pt idx="6">
                  <c:v>142157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31-413E-A4C0-C9F9AD807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825616"/>
        <c:axId val="139829936"/>
      </c:barChart>
      <c:catAx>
        <c:axId val="13982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29936"/>
        <c:crosses val="autoZero"/>
        <c:auto val="1"/>
        <c:lblAlgn val="ctr"/>
        <c:lblOffset val="100"/>
        <c:noMultiLvlLbl val="0"/>
      </c:catAx>
      <c:valAx>
        <c:axId val="13982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dashboard.xlsx]pivot table!PivotTable2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Sum of Sum of test_id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table'!$A$12:$A$24</c:f>
              <c:strCache>
                <c:ptCount val="12"/>
                <c:pt idx="0">
                  <c:v>Blood Sugar</c:v>
                </c:pt>
                <c:pt idx="1">
                  <c:v>Complete Blood Count</c:v>
                </c:pt>
                <c:pt idx="2">
                  <c:v>CT Scan Brain</c:v>
                </c:pt>
                <c:pt idx="3">
                  <c:v>Grand Total</c:v>
                </c:pt>
                <c:pt idx="4">
                  <c:v>Kidney Function Test</c:v>
                </c:pt>
                <c:pt idx="5">
                  <c:v>Lipid Profile</c:v>
                </c:pt>
                <c:pt idx="6">
                  <c:v>Liver Function Test</c:v>
                </c:pt>
                <c:pt idx="7">
                  <c:v>MRI Spine</c:v>
                </c:pt>
                <c:pt idx="8">
                  <c:v>Pathology</c:v>
                </c:pt>
                <c:pt idx="9">
                  <c:v>Radiology</c:v>
                </c:pt>
                <c:pt idx="10">
                  <c:v>Ultrasound Abdomen</c:v>
                </c:pt>
                <c:pt idx="11">
                  <c:v>X-Ray Chest</c:v>
                </c:pt>
              </c:strCache>
            </c:strRef>
          </c:cat>
          <c:val>
            <c:numRef>
              <c:f>'pivot table'!$B$12:$B$24</c:f>
              <c:numCache>
                <c:formatCode>General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45</c:v>
                </c:pt>
                <c:pt idx="4">
                  <c:v>8</c:v>
                </c:pt>
                <c:pt idx="5">
                  <c:v>9</c:v>
                </c:pt>
                <c:pt idx="6">
                  <c:v>7</c:v>
                </c:pt>
                <c:pt idx="7">
                  <c:v>3</c:v>
                </c:pt>
                <c:pt idx="8">
                  <c:v>35</c:v>
                </c:pt>
                <c:pt idx="9">
                  <c:v>10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9-4E83-BD47-63488F8CD46D}"/>
            </c:ext>
          </c:extLst>
        </c:ser>
        <c:ser>
          <c:idx val="1"/>
          <c:order val="1"/>
          <c:tx>
            <c:strRef>
              <c:f>'pivot table'!$C$11</c:f>
              <c:strCache>
                <c:ptCount val="1"/>
                <c:pt idx="0">
                  <c:v>Sum of Sum of standard_cost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table'!$A$12:$A$24</c:f>
              <c:strCache>
                <c:ptCount val="12"/>
                <c:pt idx="0">
                  <c:v>Blood Sugar</c:v>
                </c:pt>
                <c:pt idx="1">
                  <c:v>Complete Blood Count</c:v>
                </c:pt>
                <c:pt idx="2">
                  <c:v>CT Scan Brain</c:v>
                </c:pt>
                <c:pt idx="3">
                  <c:v>Grand Total</c:v>
                </c:pt>
                <c:pt idx="4">
                  <c:v>Kidney Function Test</c:v>
                </c:pt>
                <c:pt idx="5">
                  <c:v>Lipid Profile</c:v>
                </c:pt>
                <c:pt idx="6">
                  <c:v>Liver Function Test</c:v>
                </c:pt>
                <c:pt idx="7">
                  <c:v>MRI Spine</c:v>
                </c:pt>
                <c:pt idx="8">
                  <c:v>Pathology</c:v>
                </c:pt>
                <c:pt idx="9">
                  <c:v>Radiology</c:v>
                </c:pt>
                <c:pt idx="10">
                  <c:v>Ultrasound Abdomen</c:v>
                </c:pt>
                <c:pt idx="11">
                  <c:v>X-Ray Chest</c:v>
                </c:pt>
              </c:strCache>
            </c:strRef>
          </c:cat>
          <c:val>
            <c:numRef>
              <c:f>'pivot table'!$C$12:$C$24</c:f>
              <c:numCache>
                <c:formatCode>General</c:formatCode>
                <c:ptCount val="12"/>
                <c:pt idx="0">
                  <c:v>2770</c:v>
                </c:pt>
                <c:pt idx="1">
                  <c:v>4257</c:v>
                </c:pt>
                <c:pt idx="2">
                  <c:v>4852</c:v>
                </c:pt>
                <c:pt idx="3">
                  <c:v>26573</c:v>
                </c:pt>
                <c:pt idx="4">
                  <c:v>4440</c:v>
                </c:pt>
                <c:pt idx="5">
                  <c:v>2796</c:v>
                </c:pt>
                <c:pt idx="6">
                  <c:v>924</c:v>
                </c:pt>
                <c:pt idx="7">
                  <c:v>3541</c:v>
                </c:pt>
                <c:pt idx="8">
                  <c:v>15187</c:v>
                </c:pt>
                <c:pt idx="9">
                  <c:v>11386</c:v>
                </c:pt>
                <c:pt idx="10">
                  <c:v>1665</c:v>
                </c:pt>
                <c:pt idx="11">
                  <c:v>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9-4E83-BD47-63488F8CD46D}"/>
            </c:ext>
          </c:extLst>
        </c:ser>
        <c:ser>
          <c:idx val="2"/>
          <c:order val="2"/>
          <c:tx>
            <c:strRef>
              <c:f>'pivot table'!$D$11</c:f>
              <c:strCache>
                <c:ptCount val="1"/>
                <c:pt idx="0">
                  <c:v>Sum of Sum of department_id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table'!$A$12:$A$24</c:f>
              <c:strCache>
                <c:ptCount val="12"/>
                <c:pt idx="0">
                  <c:v>Blood Sugar</c:v>
                </c:pt>
                <c:pt idx="1">
                  <c:v>Complete Blood Count</c:v>
                </c:pt>
                <c:pt idx="2">
                  <c:v>CT Scan Brain</c:v>
                </c:pt>
                <c:pt idx="3">
                  <c:v>Grand Total</c:v>
                </c:pt>
                <c:pt idx="4">
                  <c:v>Kidney Function Test</c:v>
                </c:pt>
                <c:pt idx="5">
                  <c:v>Lipid Profile</c:v>
                </c:pt>
                <c:pt idx="6">
                  <c:v>Liver Function Test</c:v>
                </c:pt>
                <c:pt idx="7">
                  <c:v>MRI Spine</c:v>
                </c:pt>
                <c:pt idx="8">
                  <c:v>Pathology</c:v>
                </c:pt>
                <c:pt idx="9">
                  <c:v>Radiology</c:v>
                </c:pt>
                <c:pt idx="10">
                  <c:v>Ultrasound Abdomen</c:v>
                </c:pt>
                <c:pt idx="11">
                  <c:v>X-Ray Chest</c:v>
                </c:pt>
              </c:strCache>
            </c:strRef>
          </c:cat>
          <c:val>
            <c:numRef>
              <c:f>'pivot table'!$D$12:$D$24</c:f>
              <c:numCache>
                <c:formatCode>General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68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40</c:v>
                </c:pt>
                <c:pt idx="9">
                  <c:v>28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99-4E83-BD47-63488F8CD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773200"/>
        <c:axId val="211773680"/>
      </c:barChart>
      <c:catAx>
        <c:axId val="21177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3680"/>
        <c:crosses val="autoZero"/>
        <c:auto val="1"/>
        <c:lblAlgn val="ctr"/>
        <c:lblOffset val="100"/>
        <c:noMultiLvlLbl val="0"/>
      </c:catAx>
      <c:valAx>
        <c:axId val="21177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[Disease Analysis dashboard.xlsx]pivot table!PivotTable3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table'!$G$12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B1-4B25-A591-365B309646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B1-4B25-A591-365B309646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B1-4B25-A591-365B309646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B1-4B25-A591-365B309646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B1-4B25-A591-365B309646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B1-4B25-A591-365B309646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4B1-4B25-A591-365B309646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4B1-4B25-A591-365B309646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4B1-4B25-A591-365B309646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4B1-4B25-A591-365B3096461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4B1-4B25-A591-365B3096461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4B1-4B25-A591-365B3096461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4B1-4B25-A591-365B3096461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4B1-4B25-A591-365B3096461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4B1-4B25-A591-365B3096461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4B1-4B25-A591-365B3096461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4B1-4B25-A591-365B3096461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4B1-4B25-A591-365B3096461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4B1-4B25-A591-365B3096461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4B1-4B25-A591-365B3096461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4B1-4B25-A591-365B3096461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4B1-4B25-A591-365B3096461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4B1-4B25-A591-365B3096461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4B1-4B25-A591-365B3096461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4B1-4B25-A591-365B3096461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4B1-4B25-A591-365B3096461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4B1-4B25-A591-365B3096461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4B1-4B25-A591-365B3096461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4B1-4B25-A591-365B3096461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4B1-4B25-A591-365B3096461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4B1-4B25-A591-365B3096461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4B1-4B25-A591-365B30964611}"/>
              </c:ext>
            </c:extLst>
          </c:dPt>
          <c:cat>
            <c:strRef>
              <c:f>'pivot table'!$F$13:$F$45</c:f>
              <c:strCache>
                <c:ptCount val="32"/>
                <c:pt idx="0">
                  <c:v>Acute Myocardial Infarction</c:v>
                </c:pt>
                <c:pt idx="1">
                  <c:v>Acute Respiratory Distress</c:v>
                </c:pt>
                <c:pt idx="2">
                  <c:v>Anemia</c:v>
                </c:pt>
                <c:pt idx="3">
                  <c:v>Appendicitis</c:v>
                </c:pt>
                <c:pt idx="4">
                  <c:v>Cardiac</c:v>
                </c:pt>
                <c:pt idx="5">
                  <c:v>Chronic Kidney Disease</c:v>
                </c:pt>
                <c:pt idx="6">
                  <c:v>Chronic Obstructive Pulmonary Disease</c:v>
                </c:pt>
                <c:pt idx="7">
                  <c:v>COVID-19</c:v>
                </c:pt>
                <c:pt idx="8">
                  <c:v>Diabetes Mellitus</c:v>
                </c:pt>
                <c:pt idx="9">
                  <c:v>Endocrine</c:v>
                </c:pt>
                <c:pt idx="10">
                  <c:v>Fracture Femur</c:v>
                </c:pt>
                <c:pt idx="11">
                  <c:v>Gallstones</c:v>
                </c:pt>
                <c:pt idx="12">
                  <c:v>Grand Total</c:v>
                </c:pt>
                <c:pt idx="13">
                  <c:v>Hematological</c:v>
                </c:pt>
                <c:pt idx="14">
                  <c:v>Hernia</c:v>
                </c:pt>
                <c:pt idx="15">
                  <c:v>Hypertension</c:v>
                </c:pt>
                <c:pt idx="16">
                  <c:v>Infectious</c:v>
                </c:pt>
                <c:pt idx="17">
                  <c:v>Neonatal Jaundice</c:v>
                </c:pt>
                <c:pt idx="18">
                  <c:v>Neurological</c:v>
                </c:pt>
                <c:pt idx="19">
                  <c:v>Orthopedic</c:v>
                </c:pt>
                <c:pt idx="20">
                  <c:v>Pediatric</c:v>
                </c:pt>
                <c:pt idx="21">
                  <c:v>Pneumonia</c:v>
                </c:pt>
                <c:pt idx="22">
                  <c:v>Renal</c:v>
                </c:pt>
                <c:pt idx="23">
                  <c:v>Respiratory</c:v>
                </c:pt>
                <c:pt idx="24">
                  <c:v>Road Traffic Accident</c:v>
                </c:pt>
                <c:pt idx="25">
                  <c:v>Sepsis</c:v>
                </c:pt>
                <c:pt idx="26">
                  <c:v>Stroke</c:v>
                </c:pt>
                <c:pt idx="27">
                  <c:v>Surgical</c:v>
                </c:pt>
                <c:pt idx="28">
                  <c:v>Trauma</c:v>
                </c:pt>
                <c:pt idx="29">
                  <c:v>Tuberculosis</c:v>
                </c:pt>
                <c:pt idx="30">
                  <c:v>Urinary Tract Infection</c:v>
                </c:pt>
                <c:pt idx="31">
                  <c:v>Viral Fever</c:v>
                </c:pt>
              </c:strCache>
            </c:strRef>
          </c:cat>
          <c:val>
            <c:numRef>
              <c:f>'pivot table'!$G$13:$G$45</c:f>
              <c:numCache>
                <c:formatCode>General</c:formatCode>
                <c:ptCount val="32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6</c:v>
                </c:pt>
                <c:pt idx="9">
                  <c:v>6</c:v>
                </c:pt>
                <c:pt idx="10">
                  <c:v>11</c:v>
                </c:pt>
                <c:pt idx="11">
                  <c:v>13</c:v>
                </c:pt>
                <c:pt idx="12">
                  <c:v>210</c:v>
                </c:pt>
                <c:pt idx="13">
                  <c:v>10</c:v>
                </c:pt>
                <c:pt idx="14">
                  <c:v>14</c:v>
                </c:pt>
                <c:pt idx="15">
                  <c:v>7</c:v>
                </c:pt>
                <c:pt idx="16">
                  <c:v>78</c:v>
                </c:pt>
                <c:pt idx="17">
                  <c:v>16</c:v>
                </c:pt>
                <c:pt idx="18">
                  <c:v>2</c:v>
                </c:pt>
                <c:pt idx="19">
                  <c:v>11</c:v>
                </c:pt>
                <c:pt idx="20">
                  <c:v>31</c:v>
                </c:pt>
                <c:pt idx="21">
                  <c:v>15</c:v>
                </c:pt>
                <c:pt idx="22">
                  <c:v>8</c:v>
                </c:pt>
                <c:pt idx="23">
                  <c:v>14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7">
                  <c:v>39</c:v>
                </c:pt>
                <c:pt idx="28">
                  <c:v>3</c:v>
                </c:pt>
                <c:pt idx="29">
                  <c:v>20</c:v>
                </c:pt>
                <c:pt idx="30">
                  <c:v>17</c:v>
                </c:pt>
                <c:pt idx="3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4B1-4B25-A591-365B30964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697987751531068"/>
          <c:y val="0.26467373869932925"/>
          <c:w val="0.33333324581335033"/>
          <c:h val="0.557561599379314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298450</xdr:colOff>
      <xdr:row>6</xdr:row>
      <xdr:rowOff>82550</xdr:rowOff>
    </xdr:from>
    <xdr:ext cx="3835400" cy="3428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C8C67F-0888-20DB-A7C9-4211691E396E}"/>
            </a:ext>
          </a:extLst>
        </xdr:cNvPr>
        <xdr:cNvSpPr txBox="1"/>
      </xdr:nvSpPr>
      <xdr:spPr>
        <a:xfrm>
          <a:off x="16598900" y="1187450"/>
          <a:ext cx="3835400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600">
            <a:latin typeface="Arial Rounded MT Bold" panose="020F0704030504030204" pitchFamily="34" charset="0"/>
          </a:endParaRPr>
        </a:p>
      </xdr:txBody>
    </xdr:sp>
    <xdr:clientData/>
  </xdr:oneCellAnchor>
  <xdr:oneCellAnchor>
    <xdr:from>
      <xdr:col>29</xdr:col>
      <xdr:colOff>406400</xdr:colOff>
      <xdr:row>6</xdr:row>
      <xdr:rowOff>12700</xdr:rowOff>
    </xdr:from>
    <xdr:ext cx="184731" cy="38170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69E835-F31D-42E2-2C73-FCBD225073B7}"/>
            </a:ext>
          </a:extLst>
        </xdr:cNvPr>
        <xdr:cNvSpPr txBox="1"/>
      </xdr:nvSpPr>
      <xdr:spPr>
        <a:xfrm>
          <a:off x="25647650" y="1071033"/>
          <a:ext cx="184731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25</xdr:col>
      <xdr:colOff>79374</xdr:colOff>
      <xdr:row>10</xdr:row>
      <xdr:rowOff>4008</xdr:rowOff>
    </xdr:from>
    <xdr:ext cx="184731" cy="4054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B8817C3-AEEE-377A-F5D5-220F68E7C8F0}"/>
            </a:ext>
          </a:extLst>
        </xdr:cNvPr>
        <xdr:cNvSpPr txBox="1"/>
      </xdr:nvSpPr>
      <xdr:spPr>
        <a:xfrm>
          <a:off x="22851180" y="17678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142875</xdr:rowOff>
    </xdr:from>
    <xdr:to>
      <xdr:col>6</xdr:col>
      <xdr:colOff>95250</xdr:colOff>
      <xdr:row>19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AAC3A-7B22-4860-AB34-9749ED84B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298450</xdr:colOff>
      <xdr:row>6</xdr:row>
      <xdr:rowOff>82550</xdr:rowOff>
    </xdr:from>
    <xdr:ext cx="3835400" cy="3428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8BD78C-D59F-479D-98B3-1EC007186CB7}"/>
            </a:ext>
          </a:extLst>
        </xdr:cNvPr>
        <xdr:cNvSpPr txBox="1"/>
      </xdr:nvSpPr>
      <xdr:spPr>
        <a:xfrm>
          <a:off x="18053050" y="1187450"/>
          <a:ext cx="3835400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>
              <a:latin typeface="Arial Rounded MT Bold" panose="020F0704030504030204" pitchFamily="34" charset="0"/>
            </a:rPr>
            <a:t>Admissions of patients</a:t>
          </a:r>
        </a:p>
      </xdr:txBody>
    </xdr:sp>
    <xdr:clientData/>
  </xdr:oneCellAnchor>
  <xdr:twoCellAnchor>
    <xdr:from>
      <xdr:col>12</xdr:col>
      <xdr:colOff>361950</xdr:colOff>
      <xdr:row>8</xdr:row>
      <xdr:rowOff>104775</xdr:rowOff>
    </xdr:from>
    <xdr:to>
      <xdr:col>18</xdr:col>
      <xdr:colOff>476250</xdr:colOff>
      <xdr:row>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6444A3-8DB1-4B86-8D09-B23CDBD19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406400</xdr:colOff>
      <xdr:row>6</xdr:row>
      <xdr:rowOff>12700</xdr:rowOff>
    </xdr:from>
    <xdr:ext cx="2760756" cy="38170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F39899-8548-4474-B13F-EF886F713B08}"/>
            </a:ext>
          </a:extLst>
        </xdr:cNvPr>
        <xdr:cNvSpPr txBox="1"/>
      </xdr:nvSpPr>
      <xdr:spPr>
        <a:xfrm>
          <a:off x="25476200" y="1117600"/>
          <a:ext cx="2760756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>
              <a:latin typeface="Arial Black" panose="020B0A04020102020204" pitchFamily="34" charset="0"/>
            </a:rPr>
            <a:t>diagnostics</a:t>
          </a:r>
          <a:r>
            <a:rPr lang="en-US" sz="1600" baseline="0">
              <a:latin typeface="Arial Black" panose="020B0A04020102020204" pitchFamily="34" charset="0"/>
            </a:rPr>
            <a:t> of patients</a:t>
          </a:r>
          <a:endParaRPr lang="en-US" sz="1600">
            <a:latin typeface="Arial Black" panose="020B0A04020102020204" pitchFamily="34" charset="0"/>
          </a:endParaRPr>
        </a:p>
      </xdr:txBody>
    </xdr:sp>
    <xdr:clientData/>
  </xdr:oneCellAnchor>
  <xdr:twoCellAnchor>
    <xdr:from>
      <xdr:col>6</xdr:col>
      <xdr:colOff>176934</xdr:colOff>
      <xdr:row>12</xdr:row>
      <xdr:rowOff>62634</xdr:rowOff>
    </xdr:from>
    <xdr:to>
      <xdr:col>12</xdr:col>
      <xdr:colOff>281421</xdr:colOff>
      <xdr:row>24</xdr:row>
      <xdr:rowOff>173182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9E42E4-2525-4EBD-82CE-A533F4C02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79374</xdr:colOff>
      <xdr:row>9</xdr:row>
      <xdr:rowOff>180397</xdr:rowOff>
    </xdr:from>
    <xdr:ext cx="1717073" cy="4054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1963CE3-3496-415F-B735-5C0C8BD9C447}"/>
            </a:ext>
          </a:extLst>
        </xdr:cNvPr>
        <xdr:cNvSpPr txBox="1"/>
      </xdr:nvSpPr>
      <xdr:spPr>
        <a:xfrm>
          <a:off x="22710774" y="1837747"/>
          <a:ext cx="171707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/>
            <a:t>disease names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-1" refreshedDate="46302.461940856483" createdVersion="8" refreshedVersion="8" minRefreshableVersion="3" recordCount="7" xr:uid="{E0B56568-1402-4CB5-87C9-8119EA08D689}">
  <cacheSource type="worksheet">
    <worksheetSource ref="I10:O17" sheet="data"/>
  </cacheSource>
  <cacheFields count="7">
    <cacheField name="Row Labels" numFmtId="0">
      <sharedItems containsMixedTypes="1" containsNumber="1" containsInteger="1" minValue="2020" maxValue="2025" count="7">
        <n v="2020"/>
        <n v="2021"/>
        <n v="2022"/>
        <n v="2023"/>
        <n v="2024"/>
        <n v="2025"/>
        <s v="Grand Total"/>
      </sharedItems>
    </cacheField>
    <cacheField name="Sum of admission_id" numFmtId="0">
      <sharedItems containsSemiMixedTypes="0" containsString="0" containsNumber="1" containsInteger="1" minValue="166237855" maxValue="1012522500"/>
    </cacheField>
    <cacheField name="Sum of disease_id" numFmtId="0">
      <sharedItems containsSemiMixedTypes="0" containsString="0" containsNumber="1" containsInteger="1" minValue="76580" maxValue="470693"/>
    </cacheField>
    <cacheField name="Sum of patient_id" numFmtId="0">
      <sharedItems containsSemiMixedTypes="0" containsString="0" containsNumber="1" containsInteger="1" minValue="110247502" maxValue="671083196"/>
    </cacheField>
    <cacheField name="Sum of ward_id" numFmtId="0">
      <sharedItems containsSemiMixedTypes="0" containsString="0" containsNumber="1" containsInteger="1" minValue="99102" maxValue="608679"/>
    </cacheField>
    <cacheField name="Sum of department_id" numFmtId="0">
      <sharedItems containsSemiMixedTypes="0" containsString="0" containsNumber="1" containsInteger="1" minValue="23205" maxValue="142157"/>
    </cacheField>
    <cacheField name="Sum of bed_id" numFmtId="0">
      <sharedItems containsSemiMixedTypes="0" containsString="0" containsNumber="1" containsInteger="1" minValue="1425469" maxValue="87567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-1" refreshedDate="46302.465282175923" createdVersion="8" refreshedVersion="8" minRefreshableVersion="3" recordCount="19" xr:uid="{3D12B112-BDA7-4D63-B8C3-F41F5CD728CB}">
  <cacheSource type="worksheet">
    <worksheetSource ref="A4:D23" sheet="data"/>
  </cacheSource>
  <cacheFields count="4">
    <cacheField name="Row Labels" numFmtId="0">
      <sharedItems count="12">
        <s v="Blood Sugar"/>
        <s v="Pathology"/>
        <s v="Complete Blood Count"/>
        <s v="CT Scan Brain"/>
        <s v="Radiology"/>
        <s v="Kidney Function Test"/>
        <s v="Lipid Profile"/>
        <s v="Liver Function Test"/>
        <s v="MRI Spine"/>
        <s v="Ultrasound Abdomen"/>
        <s v="X-Ray Chest"/>
        <s v="Grand Total"/>
      </sharedItems>
    </cacheField>
    <cacheField name="Sum of test_id" numFmtId="0">
      <sharedItems containsSemiMixedTypes="0" containsString="0" containsNumber="1" containsInteger="1" minValue="1" maxValue="45"/>
    </cacheField>
    <cacheField name="Sum of standard_cost" numFmtId="0">
      <sharedItems containsSemiMixedTypes="0" containsString="0" containsNumber="1" containsInteger="1" minValue="924" maxValue="26573"/>
    </cacheField>
    <cacheField name="Sum of department_id" numFmtId="0">
      <sharedItems containsSemiMixedTypes="0" containsString="0" containsNumber="1" containsInteger="1" minValue="7" maxValue="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-1" refreshedDate="46302.46744537037" createdVersion="8" refreshedVersion="8" minRefreshableVersion="3" recordCount="41" xr:uid="{93E63BB0-BA79-4EAC-A356-B95643A512FE}">
  <cacheSource type="worksheet">
    <worksheetSource ref="S2:T43" sheet="data"/>
  </cacheSource>
  <cacheFields count="2">
    <cacheField name="Row Lab+A32:C65els" numFmtId="0">
      <sharedItems count="32">
        <s v="Acute Myocardial Infarction"/>
        <s v="Cardiac"/>
        <s v="Acute Respiratory Distress"/>
        <s v="Respiratory"/>
        <s v="Anemia"/>
        <s v="Hematological"/>
        <s v="Appendicitis"/>
        <s v="Surgical"/>
        <s v="Chronic Kidney Disease"/>
        <s v="Renal"/>
        <s v="Chronic Obstructive Pulmonary Disease"/>
        <s v="COVID-19"/>
        <s v="Infectious"/>
        <s v="Diabetes Mellitus"/>
        <s v="Endocrine"/>
        <s v="Fracture Femur"/>
        <s v="Orthopedic"/>
        <s v="Gallstones"/>
        <s v="Hernia"/>
        <s v="Hypertension"/>
        <s v="Neonatal Jaundice"/>
        <s v="Pediatric"/>
        <s v="Pneumonia"/>
        <s v="Road Traffic Accident"/>
        <s v="Trauma"/>
        <s v="Sepsis"/>
        <s v="Stroke"/>
        <s v="Neurological"/>
        <s v="Tuberculosis"/>
        <s v="Urinary Tract Infection"/>
        <s v="Viral Fever"/>
        <s v="Grand Total"/>
      </sharedItems>
    </cacheField>
    <cacheField name="Sum of disease_id" numFmtId="0">
      <sharedItems containsSemiMixedTypes="0" containsString="0" containsNumber="1" containsInteger="1" minValue="1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67817177"/>
    <n v="77676"/>
    <n v="111820808"/>
    <n v="101308"/>
    <n v="23659"/>
    <n v="1458397"/>
  </r>
  <r>
    <x v="1"/>
    <n v="169790522"/>
    <n v="78070"/>
    <n v="113102961"/>
    <n v="101884"/>
    <n v="23772"/>
    <n v="1465710"/>
  </r>
  <r>
    <x v="2"/>
    <n v="167691260"/>
    <n v="79196"/>
    <n v="110459418"/>
    <n v="101387"/>
    <n v="23667"/>
    <n v="1458103"/>
  </r>
  <r>
    <x v="3"/>
    <n v="166237855"/>
    <n v="76580"/>
    <n v="110247502"/>
    <n v="99102"/>
    <n v="23205"/>
    <n v="1425469"/>
  </r>
  <r>
    <x v="4"/>
    <n v="169762355"/>
    <n v="79126"/>
    <n v="112598817"/>
    <n v="102589"/>
    <n v="23925"/>
    <n v="1476289"/>
  </r>
  <r>
    <x v="5"/>
    <n v="171223331"/>
    <n v="80045"/>
    <n v="112853690"/>
    <n v="102409"/>
    <n v="23929"/>
    <n v="1472798"/>
  </r>
  <r>
    <x v="6"/>
    <n v="1012522500"/>
    <n v="470693"/>
    <n v="671083196"/>
    <n v="608679"/>
    <n v="142157"/>
    <n v="875676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6"/>
    <n v="2770"/>
    <n v="8"/>
  </r>
  <r>
    <x v="1"/>
    <n v="6"/>
    <n v="2770"/>
    <n v="8"/>
  </r>
  <r>
    <x v="2"/>
    <n v="5"/>
    <n v="4257"/>
    <n v="8"/>
  </r>
  <r>
    <x v="1"/>
    <n v="5"/>
    <n v="4257"/>
    <n v="8"/>
  </r>
  <r>
    <x v="3"/>
    <n v="2"/>
    <n v="4852"/>
    <n v="7"/>
  </r>
  <r>
    <x v="4"/>
    <n v="2"/>
    <n v="4852"/>
    <n v="7"/>
  </r>
  <r>
    <x v="5"/>
    <n v="8"/>
    <n v="4440"/>
    <n v="8"/>
  </r>
  <r>
    <x v="1"/>
    <n v="8"/>
    <n v="4440"/>
    <n v="8"/>
  </r>
  <r>
    <x v="6"/>
    <n v="9"/>
    <n v="2796"/>
    <n v="8"/>
  </r>
  <r>
    <x v="1"/>
    <n v="9"/>
    <n v="2796"/>
    <n v="8"/>
  </r>
  <r>
    <x v="7"/>
    <n v="7"/>
    <n v="924"/>
    <n v="8"/>
  </r>
  <r>
    <x v="1"/>
    <n v="7"/>
    <n v="924"/>
    <n v="8"/>
  </r>
  <r>
    <x v="8"/>
    <n v="3"/>
    <n v="3541"/>
    <n v="7"/>
  </r>
  <r>
    <x v="4"/>
    <n v="3"/>
    <n v="3541"/>
    <n v="7"/>
  </r>
  <r>
    <x v="9"/>
    <n v="4"/>
    <n v="1665"/>
    <n v="7"/>
  </r>
  <r>
    <x v="4"/>
    <n v="4"/>
    <n v="1665"/>
    <n v="7"/>
  </r>
  <r>
    <x v="10"/>
    <n v="1"/>
    <n v="1328"/>
    <n v="7"/>
  </r>
  <r>
    <x v="4"/>
    <n v="1"/>
    <n v="1328"/>
    <n v="7"/>
  </r>
  <r>
    <x v="11"/>
    <n v="45"/>
    <n v="26573"/>
    <n v="6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1"/>
  </r>
  <r>
    <x v="1"/>
    <n v="1"/>
  </r>
  <r>
    <x v="2"/>
    <n v="5"/>
  </r>
  <r>
    <x v="3"/>
    <n v="5"/>
  </r>
  <r>
    <x v="4"/>
    <n v="10"/>
  </r>
  <r>
    <x v="5"/>
    <n v="10"/>
  </r>
  <r>
    <x v="6"/>
    <n v="12"/>
  </r>
  <r>
    <x v="7"/>
    <n v="12"/>
  </r>
  <r>
    <x v="8"/>
    <n v="8"/>
  </r>
  <r>
    <x v="9"/>
    <n v="8"/>
  </r>
  <r>
    <x v="10"/>
    <n v="9"/>
  </r>
  <r>
    <x v="3"/>
    <n v="9"/>
  </r>
  <r>
    <x v="11"/>
    <n v="19"/>
  </r>
  <r>
    <x v="12"/>
    <n v="19"/>
  </r>
  <r>
    <x v="13"/>
    <n v="6"/>
  </r>
  <r>
    <x v="14"/>
    <n v="6"/>
  </r>
  <r>
    <x v="15"/>
    <n v="11"/>
  </r>
  <r>
    <x v="16"/>
    <n v="11"/>
  </r>
  <r>
    <x v="17"/>
    <n v="13"/>
  </r>
  <r>
    <x v="7"/>
    <n v="13"/>
  </r>
  <r>
    <x v="18"/>
    <n v="14"/>
  </r>
  <r>
    <x v="7"/>
    <n v="14"/>
  </r>
  <r>
    <x v="19"/>
    <n v="7"/>
  </r>
  <r>
    <x v="1"/>
    <n v="7"/>
  </r>
  <r>
    <x v="20"/>
    <n v="16"/>
  </r>
  <r>
    <x v="21"/>
    <n v="16"/>
  </r>
  <r>
    <x v="22"/>
    <n v="15"/>
  </r>
  <r>
    <x v="21"/>
    <n v="15"/>
  </r>
  <r>
    <x v="23"/>
    <n v="3"/>
  </r>
  <r>
    <x v="24"/>
    <n v="3"/>
  </r>
  <r>
    <x v="25"/>
    <n v="4"/>
  </r>
  <r>
    <x v="12"/>
    <n v="4"/>
  </r>
  <r>
    <x v="26"/>
    <n v="2"/>
  </r>
  <r>
    <x v="27"/>
    <n v="2"/>
  </r>
  <r>
    <x v="28"/>
    <n v="20"/>
  </r>
  <r>
    <x v="12"/>
    <n v="20"/>
  </r>
  <r>
    <x v="29"/>
    <n v="17"/>
  </r>
  <r>
    <x v="12"/>
    <n v="17"/>
  </r>
  <r>
    <x v="30"/>
    <n v="18"/>
  </r>
  <r>
    <x v="12"/>
    <n v="18"/>
  </r>
  <r>
    <x v="31"/>
    <n v="2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1AF63-83BD-4487-91B4-05D59125AAC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2:G45" firstHeaderRow="1" firstDataRow="1" firstDataCol="1"/>
  <pivotFields count="2">
    <pivotField axis="axisRow" showAll="0">
      <items count="33">
        <item x="0"/>
        <item x="2"/>
        <item x="4"/>
        <item x="6"/>
        <item x="1"/>
        <item x="8"/>
        <item x="10"/>
        <item x="11"/>
        <item x="13"/>
        <item x="14"/>
        <item x="15"/>
        <item x="17"/>
        <item x="31"/>
        <item x="5"/>
        <item x="18"/>
        <item x="19"/>
        <item x="12"/>
        <item x="20"/>
        <item x="27"/>
        <item x="16"/>
        <item x="21"/>
        <item x="22"/>
        <item x="9"/>
        <item x="3"/>
        <item x="23"/>
        <item x="25"/>
        <item x="26"/>
        <item x="7"/>
        <item x="24"/>
        <item x="28"/>
        <item x="29"/>
        <item x="30"/>
        <item t="default"/>
      </items>
    </pivotField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Sum of disease_id" fld="1" baseField="0" baseItem="0"/>
  </dataFields>
  <chartFormats count="33">
    <chartFormat chart="2" format="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742E8-2918-4683-A463-D4D1FE379D3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:D24" firstHeaderRow="0" firstDataRow="1" firstDataCol="1"/>
  <pivotFields count="4">
    <pivotField axis="axisRow" showAll="0">
      <items count="13">
        <item x="0"/>
        <item x="2"/>
        <item x="3"/>
        <item x="11"/>
        <item x="5"/>
        <item x="6"/>
        <item x="7"/>
        <item x="8"/>
        <item x="1"/>
        <item x="4"/>
        <item x="9"/>
        <item x="1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um of test_id" fld="1" baseField="0" baseItem="0"/>
    <dataField name="Sum of Sum of standard_cost" fld="2" baseField="0" baseItem="0"/>
    <dataField name="Sum of Sum of department_id" fld="3" baseField="0" baseItem="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D35BD-ED41-4E00-8CFD-F05754F6FCF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G9" firstHeaderRow="0" firstDataRow="1" firstDataCol="1"/>
  <pivotFields count="7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Sum of admission_id" fld="1" baseField="0" baseItem="0"/>
    <dataField name="Sum of Sum of disease_id" fld="2" baseField="0" baseItem="0"/>
    <dataField name="Sum of Sum of ward_id" fld="4" baseField="0" baseItem="0"/>
    <dataField name="Sum of Sum of patient_id" fld="3" baseField="0" baseItem="0"/>
    <dataField name="Sum of Sum of bed_id" fld="6" baseField="0" baseItem="0"/>
    <dataField name="Sum of Sum of department_id" fld="5" baseField="0" baseItem="0"/>
  </dataFields>
  <chartFormats count="6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B1B33-62BA-417F-B88E-14973CE132C8}" name="Table1" displayName="Table1" ref="A1:F23" totalsRowShown="0">
  <autoFilter ref="A1:F23" xr:uid="{284B1B33-62BA-417F-B88E-14973CE132C8}"/>
  <tableColumns count="6">
    <tableColumn id="1" xr3:uid="{9E1231D9-A827-4674-A7E3-D53B3D6DD205}" name="Column1"/>
    <tableColumn id="2" xr3:uid="{CEA2711A-D99B-482A-B13B-2BABAAA6E3EA}" name="Column2"/>
    <tableColumn id="3" xr3:uid="{83CE69E0-F021-4849-8805-892A4A83FF3E}" name="Column3"/>
    <tableColumn id="4" xr3:uid="{E17FDEFB-EAB5-49FC-A780-B8FB1C41CDDE}" name="Column4"/>
    <tableColumn id="5" xr3:uid="{72FCC27C-2F5C-4C73-A29A-6A1202565399}" name="Column5"/>
    <tableColumn id="6" xr3:uid="{0C065CED-F11A-4802-B846-A6D5DCE9EBA0}" name="Column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35BBE4-D4D1-45BA-B272-040BC0CF7F23}" name="Table2" displayName="Table2" ref="I7:P17" totalsRowShown="0">
  <autoFilter ref="I7:P17" xr:uid="{CA35BBE4-D4D1-45BA-B272-040BC0CF7F23}"/>
  <tableColumns count="8">
    <tableColumn id="1" xr3:uid="{81E7B81C-48A0-4569-A17A-15AA2505DE30}" name="Column1"/>
    <tableColumn id="2" xr3:uid="{0C859BAD-0A38-4685-9074-1090E2741158}" name="Column2"/>
    <tableColumn id="3" xr3:uid="{B5E7F4B7-254C-471F-881E-2EBFDB5D8C1D}" name="Column3"/>
    <tableColumn id="4" xr3:uid="{3084C8A1-BC23-40AE-925B-51272B743BAE}" name="Column4"/>
    <tableColumn id="5" xr3:uid="{99C1D8E1-66A7-44CF-B3E5-8A3AA4CF1953}" name="Column5"/>
    <tableColumn id="6" xr3:uid="{F4739E31-DBB8-49D9-9FF6-92FDE8AE732E}" name="Column6"/>
    <tableColumn id="7" xr3:uid="{5EADCD4F-05DD-4ED9-9D29-91743E148011}" name="Column7"/>
    <tableColumn id="8" xr3:uid="{1F97D3BC-5398-4167-B35B-5FD099B111DD}" name="Column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C38CE2-FC10-45F2-97AC-B1DFEEF655A0}" name="Table3" displayName="Table3" ref="S1:U43" totalsRowShown="0">
  <autoFilter ref="S1:U43" xr:uid="{A0C38CE2-FC10-45F2-97AC-B1DFEEF655A0}"/>
  <tableColumns count="3">
    <tableColumn id="1" xr3:uid="{73EA12E7-07D7-401F-AF4A-5AC2F630FB2B}" name="Column1"/>
    <tableColumn id="2" xr3:uid="{D9E902C6-9AE6-463D-8980-646EDDC72E83}" name="disease"/>
    <tableColumn id="3" xr3:uid="{14BA911E-5AEE-451B-B690-F4767907A175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B31B-3E3F-474A-B145-77A4B45980A5}">
  <dimension ref="A1:U43"/>
  <sheetViews>
    <sheetView workbookViewId="0">
      <selection activeCell="S1" sqref="S1:U43"/>
    </sheetView>
  </sheetViews>
  <sheetFormatPr defaultRowHeight="14.5" x14ac:dyDescent="0.35"/>
  <cols>
    <col min="1" max="6" width="10.453125" customWidth="1"/>
    <col min="9" max="16" width="10.453125" customWidth="1"/>
  </cols>
  <sheetData>
    <row r="1" spans="1:21" x14ac:dyDescent="0.3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S1" t="s">
        <v>65</v>
      </c>
      <c r="T1" t="s">
        <v>63</v>
      </c>
      <c r="U1" t="s">
        <v>66</v>
      </c>
    </row>
    <row r="2" spans="1:21" x14ac:dyDescent="0.35">
      <c r="B2" t="s">
        <v>62</v>
      </c>
      <c r="S2" t="s">
        <v>64</v>
      </c>
      <c r="T2" t="s">
        <v>2</v>
      </c>
    </row>
    <row r="3" spans="1:21" x14ac:dyDescent="0.35">
      <c r="S3" t="s">
        <v>21</v>
      </c>
      <c r="T3">
        <v>1</v>
      </c>
    </row>
    <row r="4" spans="1:21" x14ac:dyDescent="0.35">
      <c r="A4" t="s">
        <v>0</v>
      </c>
      <c r="B4" t="s">
        <v>8</v>
      </c>
      <c r="C4" t="s">
        <v>9</v>
      </c>
      <c r="D4" t="s">
        <v>5</v>
      </c>
      <c r="S4" t="s">
        <v>22</v>
      </c>
      <c r="T4">
        <v>1</v>
      </c>
    </row>
    <row r="5" spans="1:21" x14ac:dyDescent="0.35">
      <c r="A5" t="s">
        <v>10</v>
      </c>
      <c r="B5">
        <v>6</v>
      </c>
      <c r="C5">
        <v>2770</v>
      </c>
      <c r="D5">
        <v>8</v>
      </c>
      <c r="S5" t="s">
        <v>23</v>
      </c>
      <c r="T5">
        <v>5</v>
      </c>
    </row>
    <row r="6" spans="1:21" x14ac:dyDescent="0.35">
      <c r="A6" t="s">
        <v>11</v>
      </c>
      <c r="B6">
        <v>6</v>
      </c>
      <c r="C6">
        <v>2770</v>
      </c>
      <c r="D6">
        <v>8</v>
      </c>
      <c r="S6" t="s">
        <v>24</v>
      </c>
      <c r="T6">
        <v>5</v>
      </c>
    </row>
    <row r="7" spans="1:21" x14ac:dyDescent="0.35">
      <c r="A7" t="s">
        <v>12</v>
      </c>
      <c r="B7">
        <v>5</v>
      </c>
      <c r="C7">
        <v>4257</v>
      </c>
      <c r="D7">
        <v>8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  <c r="S7" t="s">
        <v>25</v>
      </c>
      <c r="T7">
        <v>10</v>
      </c>
    </row>
    <row r="8" spans="1:21" x14ac:dyDescent="0.35">
      <c r="A8" t="s">
        <v>11</v>
      </c>
      <c r="B8">
        <v>5</v>
      </c>
      <c r="C8">
        <v>4257</v>
      </c>
      <c r="D8">
        <v>8</v>
      </c>
      <c r="K8" t="s">
        <v>59</v>
      </c>
      <c r="S8" t="s">
        <v>26</v>
      </c>
      <c r="T8">
        <v>10</v>
      </c>
    </row>
    <row r="9" spans="1:21" x14ac:dyDescent="0.35">
      <c r="A9" t="s">
        <v>13</v>
      </c>
      <c r="B9">
        <v>2</v>
      </c>
      <c r="C9">
        <v>4852</v>
      </c>
      <c r="D9">
        <v>7</v>
      </c>
      <c r="S9" t="s">
        <v>27</v>
      </c>
      <c r="T9">
        <v>12</v>
      </c>
    </row>
    <row r="10" spans="1:21" x14ac:dyDescent="0.35">
      <c r="A10" t="s">
        <v>14</v>
      </c>
      <c r="B10">
        <v>2</v>
      </c>
      <c r="C10">
        <v>4852</v>
      </c>
      <c r="D10">
        <v>7</v>
      </c>
      <c r="I10" t="s">
        <v>0</v>
      </c>
      <c r="J10" t="s">
        <v>1</v>
      </c>
      <c r="K10" t="s">
        <v>2</v>
      </c>
      <c r="L10" t="s">
        <v>3</v>
      </c>
      <c r="M10" t="s">
        <v>4</v>
      </c>
      <c r="N10" t="s">
        <v>5</v>
      </c>
      <c r="O10" t="s">
        <v>6</v>
      </c>
      <c r="S10" t="s">
        <v>28</v>
      </c>
      <c r="T10">
        <v>12</v>
      </c>
    </row>
    <row r="11" spans="1:21" x14ac:dyDescent="0.35">
      <c r="A11" t="s">
        <v>15</v>
      </c>
      <c r="B11">
        <v>8</v>
      </c>
      <c r="C11">
        <v>4440</v>
      </c>
      <c r="D11">
        <v>8</v>
      </c>
      <c r="I11">
        <v>2020</v>
      </c>
      <c r="J11">
        <v>167817177</v>
      </c>
      <c r="K11">
        <v>77676</v>
      </c>
      <c r="L11">
        <v>111820808</v>
      </c>
      <c r="M11">
        <v>101308</v>
      </c>
      <c r="N11">
        <v>23659</v>
      </c>
      <c r="O11">
        <v>1458397</v>
      </c>
      <c r="S11" t="s">
        <v>29</v>
      </c>
      <c r="T11">
        <v>8</v>
      </c>
    </row>
    <row r="12" spans="1:21" x14ac:dyDescent="0.35">
      <c r="A12" t="s">
        <v>11</v>
      </c>
      <c r="B12">
        <v>8</v>
      </c>
      <c r="C12">
        <v>4440</v>
      </c>
      <c r="D12">
        <v>8</v>
      </c>
      <c r="I12">
        <v>2021</v>
      </c>
      <c r="J12">
        <v>169790522</v>
      </c>
      <c r="K12">
        <v>78070</v>
      </c>
      <c r="L12">
        <v>113102961</v>
      </c>
      <c r="M12">
        <v>101884</v>
      </c>
      <c r="N12">
        <v>23772</v>
      </c>
      <c r="O12">
        <v>1465710</v>
      </c>
      <c r="S12" t="s">
        <v>30</v>
      </c>
      <c r="T12">
        <v>8</v>
      </c>
    </row>
    <row r="13" spans="1:21" x14ac:dyDescent="0.35">
      <c r="A13" t="s">
        <v>16</v>
      </c>
      <c r="B13">
        <v>9</v>
      </c>
      <c r="C13">
        <v>2796</v>
      </c>
      <c r="D13">
        <v>8</v>
      </c>
      <c r="I13">
        <v>2022</v>
      </c>
      <c r="J13">
        <v>167691260</v>
      </c>
      <c r="K13">
        <v>79196</v>
      </c>
      <c r="L13">
        <v>110459418</v>
      </c>
      <c r="M13">
        <v>101387</v>
      </c>
      <c r="N13">
        <v>23667</v>
      </c>
      <c r="O13">
        <v>1458103</v>
      </c>
      <c r="S13" t="s">
        <v>31</v>
      </c>
      <c r="T13">
        <v>9</v>
      </c>
    </row>
    <row r="14" spans="1:21" x14ac:dyDescent="0.35">
      <c r="A14" t="s">
        <v>11</v>
      </c>
      <c r="B14">
        <v>9</v>
      </c>
      <c r="C14">
        <v>2796</v>
      </c>
      <c r="D14">
        <v>8</v>
      </c>
      <c r="I14">
        <v>2023</v>
      </c>
      <c r="J14">
        <v>166237855</v>
      </c>
      <c r="K14">
        <v>76580</v>
      </c>
      <c r="L14">
        <v>110247502</v>
      </c>
      <c r="M14">
        <v>99102</v>
      </c>
      <c r="N14">
        <v>23205</v>
      </c>
      <c r="O14">
        <v>1425469</v>
      </c>
      <c r="S14" t="s">
        <v>24</v>
      </c>
      <c r="T14">
        <v>9</v>
      </c>
    </row>
    <row r="15" spans="1:21" x14ac:dyDescent="0.35">
      <c r="A15" t="s">
        <v>17</v>
      </c>
      <c r="B15">
        <v>7</v>
      </c>
      <c r="C15">
        <v>924</v>
      </c>
      <c r="D15">
        <v>8</v>
      </c>
      <c r="I15">
        <v>2024</v>
      </c>
      <c r="J15">
        <v>169762355</v>
      </c>
      <c r="K15">
        <v>79126</v>
      </c>
      <c r="L15">
        <v>112598817</v>
      </c>
      <c r="M15">
        <v>102589</v>
      </c>
      <c r="N15">
        <v>23925</v>
      </c>
      <c r="O15">
        <v>1476289</v>
      </c>
      <c r="S15" t="s">
        <v>32</v>
      </c>
      <c r="T15">
        <v>19</v>
      </c>
    </row>
    <row r="16" spans="1:21" x14ac:dyDescent="0.35">
      <c r="A16" t="s">
        <v>11</v>
      </c>
      <c r="B16">
        <v>7</v>
      </c>
      <c r="C16">
        <v>924</v>
      </c>
      <c r="D16">
        <v>8</v>
      </c>
      <c r="I16">
        <v>2025</v>
      </c>
      <c r="J16">
        <v>171223331</v>
      </c>
      <c r="K16">
        <v>80045</v>
      </c>
      <c r="L16">
        <v>112853690</v>
      </c>
      <c r="M16">
        <v>102409</v>
      </c>
      <c r="N16">
        <v>23929</v>
      </c>
      <c r="O16">
        <v>1472798</v>
      </c>
      <c r="S16" t="s">
        <v>33</v>
      </c>
      <c r="T16">
        <v>19</v>
      </c>
    </row>
    <row r="17" spans="1:20" x14ac:dyDescent="0.35">
      <c r="A17" t="s">
        <v>18</v>
      </c>
      <c r="B17">
        <v>3</v>
      </c>
      <c r="C17">
        <v>3541</v>
      </c>
      <c r="D17">
        <v>7</v>
      </c>
      <c r="I17" t="s">
        <v>7</v>
      </c>
      <c r="J17">
        <v>1012522500</v>
      </c>
      <c r="K17">
        <v>470693</v>
      </c>
      <c r="L17">
        <v>671083196</v>
      </c>
      <c r="M17">
        <v>608679</v>
      </c>
      <c r="N17">
        <v>142157</v>
      </c>
      <c r="O17">
        <v>8756766</v>
      </c>
      <c r="S17" t="s">
        <v>34</v>
      </c>
      <c r="T17">
        <v>6</v>
      </c>
    </row>
    <row r="18" spans="1:20" x14ac:dyDescent="0.35">
      <c r="A18" t="s">
        <v>14</v>
      </c>
      <c r="B18">
        <v>3</v>
      </c>
      <c r="C18">
        <v>3541</v>
      </c>
      <c r="D18">
        <v>7</v>
      </c>
      <c r="S18" t="s">
        <v>35</v>
      </c>
      <c r="T18">
        <v>6</v>
      </c>
    </row>
    <row r="19" spans="1:20" x14ac:dyDescent="0.35">
      <c r="A19" t="s">
        <v>19</v>
      </c>
      <c r="B19">
        <v>4</v>
      </c>
      <c r="C19">
        <v>1665</v>
      </c>
      <c r="D19">
        <v>7</v>
      </c>
      <c r="S19" t="s">
        <v>36</v>
      </c>
      <c r="T19">
        <v>11</v>
      </c>
    </row>
    <row r="20" spans="1:20" x14ac:dyDescent="0.35">
      <c r="A20" t="s">
        <v>14</v>
      </c>
      <c r="B20">
        <v>4</v>
      </c>
      <c r="C20">
        <v>1665</v>
      </c>
      <c r="D20">
        <v>7</v>
      </c>
      <c r="S20" t="s">
        <v>37</v>
      </c>
      <c r="T20">
        <v>11</v>
      </c>
    </row>
    <row r="21" spans="1:20" x14ac:dyDescent="0.35">
      <c r="A21" t="s">
        <v>20</v>
      </c>
      <c r="B21">
        <v>1</v>
      </c>
      <c r="C21">
        <v>1328</v>
      </c>
      <c r="D21">
        <v>7</v>
      </c>
      <c r="S21" t="s">
        <v>38</v>
      </c>
      <c r="T21">
        <v>13</v>
      </c>
    </row>
    <row r="22" spans="1:20" x14ac:dyDescent="0.35">
      <c r="A22" t="s">
        <v>14</v>
      </c>
      <c r="B22">
        <v>1</v>
      </c>
      <c r="C22">
        <v>1328</v>
      </c>
      <c r="D22">
        <v>7</v>
      </c>
      <c r="S22" t="s">
        <v>28</v>
      </c>
      <c r="T22">
        <v>13</v>
      </c>
    </row>
    <row r="23" spans="1:20" x14ac:dyDescent="0.35">
      <c r="A23" t="s">
        <v>7</v>
      </c>
      <c r="B23">
        <v>45</v>
      </c>
      <c r="C23">
        <v>26573</v>
      </c>
      <c r="D23">
        <v>68</v>
      </c>
      <c r="S23" t="s">
        <v>39</v>
      </c>
      <c r="T23">
        <v>14</v>
      </c>
    </row>
    <row r="24" spans="1:20" x14ac:dyDescent="0.35">
      <c r="S24" t="s">
        <v>28</v>
      </c>
      <c r="T24">
        <v>14</v>
      </c>
    </row>
    <row r="25" spans="1:20" x14ac:dyDescent="0.35">
      <c r="S25" t="s">
        <v>40</v>
      </c>
      <c r="T25">
        <v>7</v>
      </c>
    </row>
    <row r="26" spans="1:20" x14ac:dyDescent="0.35">
      <c r="S26" t="s">
        <v>22</v>
      </c>
      <c r="T26">
        <v>7</v>
      </c>
    </row>
    <row r="27" spans="1:20" x14ac:dyDescent="0.35">
      <c r="S27" t="s">
        <v>41</v>
      </c>
      <c r="T27">
        <v>16</v>
      </c>
    </row>
    <row r="28" spans="1:20" x14ac:dyDescent="0.35">
      <c r="S28" t="s">
        <v>42</v>
      </c>
      <c r="T28">
        <v>16</v>
      </c>
    </row>
    <row r="29" spans="1:20" x14ac:dyDescent="0.35">
      <c r="S29" t="s">
        <v>43</v>
      </c>
      <c r="T29">
        <v>15</v>
      </c>
    </row>
    <row r="30" spans="1:20" x14ac:dyDescent="0.35">
      <c r="S30" t="s">
        <v>42</v>
      </c>
      <c r="T30">
        <v>15</v>
      </c>
    </row>
    <row r="31" spans="1:20" x14ac:dyDescent="0.35">
      <c r="S31" t="s">
        <v>44</v>
      </c>
      <c r="T31">
        <v>3</v>
      </c>
    </row>
    <row r="32" spans="1:20" x14ac:dyDescent="0.35">
      <c r="S32" t="s">
        <v>45</v>
      </c>
      <c r="T32">
        <v>3</v>
      </c>
    </row>
    <row r="33" spans="19:20" x14ac:dyDescent="0.35">
      <c r="S33" t="s">
        <v>46</v>
      </c>
      <c r="T33">
        <v>4</v>
      </c>
    </row>
    <row r="34" spans="19:20" x14ac:dyDescent="0.35">
      <c r="S34" t="s">
        <v>33</v>
      </c>
      <c r="T34">
        <v>4</v>
      </c>
    </row>
    <row r="35" spans="19:20" x14ac:dyDescent="0.35">
      <c r="S35" t="s">
        <v>47</v>
      </c>
      <c r="T35">
        <v>2</v>
      </c>
    </row>
    <row r="36" spans="19:20" x14ac:dyDescent="0.35">
      <c r="S36" t="s">
        <v>48</v>
      </c>
      <c r="T36">
        <v>2</v>
      </c>
    </row>
    <row r="37" spans="19:20" x14ac:dyDescent="0.35">
      <c r="S37" t="s">
        <v>49</v>
      </c>
      <c r="T37">
        <v>20</v>
      </c>
    </row>
    <row r="38" spans="19:20" x14ac:dyDescent="0.35">
      <c r="S38" t="s">
        <v>33</v>
      </c>
      <c r="T38">
        <v>20</v>
      </c>
    </row>
    <row r="39" spans="19:20" x14ac:dyDescent="0.35">
      <c r="S39" t="s">
        <v>50</v>
      </c>
      <c r="T39">
        <v>17</v>
      </c>
    </row>
    <row r="40" spans="19:20" x14ac:dyDescent="0.35">
      <c r="S40" t="s">
        <v>33</v>
      </c>
      <c r="T40">
        <v>17</v>
      </c>
    </row>
    <row r="41" spans="19:20" x14ac:dyDescent="0.35">
      <c r="S41" t="s">
        <v>51</v>
      </c>
      <c r="T41">
        <v>18</v>
      </c>
    </row>
    <row r="42" spans="19:20" x14ac:dyDescent="0.35">
      <c r="S42" t="s">
        <v>33</v>
      </c>
      <c r="T42">
        <v>18</v>
      </c>
    </row>
    <row r="43" spans="19:20" x14ac:dyDescent="0.35">
      <c r="S43" t="s">
        <v>7</v>
      </c>
      <c r="T43">
        <v>210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7821-1D22-4D9F-944B-50297840015C}">
  <dimension ref="A1:AJ45"/>
  <sheetViews>
    <sheetView zoomScale="57" workbookViewId="0">
      <selection activeCell="N8" sqref="N8"/>
    </sheetView>
  </sheetViews>
  <sheetFormatPr defaultRowHeight="14.5" x14ac:dyDescent="0.35"/>
  <cols>
    <col min="1" max="1" width="19.08984375" bestFit="1" customWidth="1"/>
    <col min="2" max="2" width="19" bestFit="1" customWidth="1"/>
    <col min="3" max="3" width="25.36328125" bestFit="1" customWidth="1"/>
    <col min="4" max="4" width="25.81640625" bestFit="1" customWidth="1"/>
    <col min="5" max="5" width="21.90625" bestFit="1" customWidth="1"/>
    <col min="6" max="6" width="33.36328125" bestFit="1" customWidth="1"/>
    <col min="7" max="7" width="22.36328125" bestFit="1" customWidth="1"/>
  </cols>
  <sheetData>
    <row r="1" spans="1:36" ht="14.5" customHeight="1" x14ac:dyDescent="0.75">
      <c r="A1" s="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x14ac:dyDescent="0.35">
      <c r="A2" s="2">
        <v>2020</v>
      </c>
      <c r="B2">
        <v>167817177</v>
      </c>
      <c r="C2">
        <v>77676</v>
      </c>
      <c r="D2">
        <v>101308</v>
      </c>
      <c r="E2">
        <v>111820808</v>
      </c>
      <c r="F2">
        <v>1458397</v>
      </c>
      <c r="G2">
        <v>23659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x14ac:dyDescent="0.35">
      <c r="A3" s="2">
        <v>2021</v>
      </c>
      <c r="B3">
        <v>169790522</v>
      </c>
      <c r="C3">
        <v>78070</v>
      </c>
      <c r="D3">
        <v>101884</v>
      </c>
      <c r="E3">
        <v>113102961</v>
      </c>
      <c r="F3">
        <v>1465710</v>
      </c>
      <c r="G3">
        <v>23772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35">
      <c r="A4" s="2">
        <v>2022</v>
      </c>
      <c r="B4">
        <v>167691260</v>
      </c>
      <c r="C4">
        <v>79196</v>
      </c>
      <c r="D4">
        <v>101387</v>
      </c>
      <c r="E4">
        <v>110459418</v>
      </c>
      <c r="F4">
        <v>1458103</v>
      </c>
      <c r="G4">
        <v>23667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x14ac:dyDescent="0.35">
      <c r="A5" s="2">
        <v>2023</v>
      </c>
      <c r="B5">
        <v>166237855</v>
      </c>
      <c r="C5">
        <v>76580</v>
      </c>
      <c r="D5">
        <v>99102</v>
      </c>
      <c r="E5">
        <v>110247502</v>
      </c>
      <c r="F5">
        <v>1425469</v>
      </c>
      <c r="G5">
        <v>23205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x14ac:dyDescent="0.35">
      <c r="A6" s="2">
        <v>2024</v>
      </c>
      <c r="B6">
        <v>169762355</v>
      </c>
      <c r="C6">
        <v>79126</v>
      </c>
      <c r="D6">
        <v>102589</v>
      </c>
      <c r="E6">
        <v>112598817</v>
      </c>
      <c r="F6">
        <v>1476289</v>
      </c>
      <c r="G6">
        <v>23925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x14ac:dyDescent="0.35">
      <c r="A7" s="2">
        <v>2025</v>
      </c>
      <c r="B7">
        <v>171223331</v>
      </c>
      <c r="C7">
        <v>80045</v>
      </c>
      <c r="D7">
        <v>102409</v>
      </c>
      <c r="E7">
        <v>112853690</v>
      </c>
      <c r="F7">
        <v>1472798</v>
      </c>
      <c r="G7">
        <v>23929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x14ac:dyDescent="0.35">
      <c r="A8" s="2" t="s">
        <v>7</v>
      </c>
      <c r="B8">
        <v>1012522500</v>
      </c>
      <c r="C8">
        <v>470693</v>
      </c>
      <c r="D8">
        <v>608679</v>
      </c>
      <c r="E8">
        <v>671083196</v>
      </c>
      <c r="F8">
        <v>8756766</v>
      </c>
      <c r="G8">
        <v>142157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x14ac:dyDescent="0.35">
      <c r="A9" s="2" t="s">
        <v>7</v>
      </c>
      <c r="B9">
        <v>2025045000</v>
      </c>
      <c r="C9">
        <v>941386</v>
      </c>
      <c r="D9">
        <v>1217358</v>
      </c>
      <c r="E9">
        <v>1342166392</v>
      </c>
      <c r="F9">
        <v>17513532</v>
      </c>
      <c r="G9">
        <v>284314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x14ac:dyDescent="0.35"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x14ac:dyDescent="0.35">
      <c r="A11" s="1" t="s">
        <v>0</v>
      </c>
      <c r="B11" t="s">
        <v>60</v>
      </c>
      <c r="C11" t="s">
        <v>61</v>
      </c>
      <c r="D11" t="s">
        <v>58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x14ac:dyDescent="0.35">
      <c r="A12" s="2" t="s">
        <v>10</v>
      </c>
      <c r="B12">
        <v>6</v>
      </c>
      <c r="C12">
        <v>2770</v>
      </c>
      <c r="D12">
        <v>8</v>
      </c>
      <c r="F12" s="1" t="s">
        <v>0</v>
      </c>
      <c r="G12" t="s">
        <v>54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x14ac:dyDescent="0.35">
      <c r="A13" s="2" t="s">
        <v>12</v>
      </c>
      <c r="B13">
        <v>5</v>
      </c>
      <c r="C13">
        <v>4257</v>
      </c>
      <c r="D13">
        <v>8</v>
      </c>
      <c r="F13" s="2" t="s">
        <v>21</v>
      </c>
      <c r="G13">
        <v>1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x14ac:dyDescent="0.35">
      <c r="A14" s="2" t="s">
        <v>13</v>
      </c>
      <c r="B14">
        <v>2</v>
      </c>
      <c r="C14">
        <v>4852</v>
      </c>
      <c r="D14">
        <v>7</v>
      </c>
      <c r="F14" s="2" t="s">
        <v>23</v>
      </c>
      <c r="G14">
        <v>5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x14ac:dyDescent="0.35">
      <c r="A15" s="2" t="s">
        <v>7</v>
      </c>
      <c r="B15">
        <v>45</v>
      </c>
      <c r="C15">
        <v>26573</v>
      </c>
      <c r="D15">
        <v>68</v>
      </c>
      <c r="F15" s="2" t="s">
        <v>25</v>
      </c>
      <c r="G15">
        <v>10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x14ac:dyDescent="0.35">
      <c r="A16" s="2" t="s">
        <v>15</v>
      </c>
      <c r="B16">
        <v>8</v>
      </c>
      <c r="C16">
        <v>4440</v>
      </c>
      <c r="D16">
        <v>8</v>
      </c>
      <c r="F16" s="2" t="s">
        <v>27</v>
      </c>
      <c r="G16">
        <v>12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x14ac:dyDescent="0.35">
      <c r="A17" s="2" t="s">
        <v>16</v>
      </c>
      <c r="B17">
        <v>9</v>
      </c>
      <c r="C17">
        <v>2796</v>
      </c>
      <c r="D17">
        <v>8</v>
      </c>
      <c r="F17" s="2" t="s">
        <v>22</v>
      </c>
      <c r="G17">
        <v>8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x14ac:dyDescent="0.35">
      <c r="A18" s="2" t="s">
        <v>17</v>
      </c>
      <c r="B18">
        <v>7</v>
      </c>
      <c r="C18">
        <v>924</v>
      </c>
      <c r="D18">
        <v>8</v>
      </c>
      <c r="F18" s="2" t="s">
        <v>29</v>
      </c>
      <c r="G18">
        <v>8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x14ac:dyDescent="0.35">
      <c r="A19" s="2" t="s">
        <v>18</v>
      </c>
      <c r="B19">
        <v>3</v>
      </c>
      <c r="C19">
        <v>3541</v>
      </c>
      <c r="D19">
        <v>7</v>
      </c>
      <c r="F19" s="2" t="s">
        <v>31</v>
      </c>
      <c r="G19">
        <v>9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 x14ac:dyDescent="0.35">
      <c r="A20" s="2" t="s">
        <v>11</v>
      </c>
      <c r="B20">
        <v>35</v>
      </c>
      <c r="C20">
        <v>15187</v>
      </c>
      <c r="D20">
        <v>40</v>
      </c>
      <c r="F20" s="2" t="s">
        <v>32</v>
      </c>
      <c r="G20">
        <v>19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x14ac:dyDescent="0.35">
      <c r="A21" s="2" t="s">
        <v>14</v>
      </c>
      <c r="B21">
        <v>10</v>
      </c>
      <c r="C21">
        <v>11386</v>
      </c>
      <c r="D21">
        <v>28</v>
      </c>
      <c r="F21" s="2" t="s">
        <v>34</v>
      </c>
      <c r="G21">
        <v>6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x14ac:dyDescent="0.35">
      <c r="A22" s="2" t="s">
        <v>19</v>
      </c>
      <c r="B22">
        <v>4</v>
      </c>
      <c r="C22">
        <v>1665</v>
      </c>
      <c r="D22">
        <v>7</v>
      </c>
      <c r="F22" s="2" t="s">
        <v>35</v>
      </c>
      <c r="G22">
        <v>6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x14ac:dyDescent="0.35">
      <c r="A23" s="2" t="s">
        <v>20</v>
      </c>
      <c r="B23">
        <v>1</v>
      </c>
      <c r="C23">
        <v>1328</v>
      </c>
      <c r="D23">
        <v>7</v>
      </c>
      <c r="F23" s="2" t="s">
        <v>36</v>
      </c>
      <c r="G23">
        <v>11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x14ac:dyDescent="0.35">
      <c r="A24" s="2" t="s">
        <v>7</v>
      </c>
      <c r="B24">
        <v>135</v>
      </c>
      <c r="C24">
        <v>79719</v>
      </c>
      <c r="D24">
        <v>204</v>
      </c>
      <c r="F24" s="2" t="s">
        <v>38</v>
      </c>
      <c r="G24">
        <v>13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x14ac:dyDescent="0.35">
      <c r="F25" s="2" t="s">
        <v>7</v>
      </c>
      <c r="G25">
        <v>210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x14ac:dyDescent="0.35">
      <c r="F26" s="2" t="s">
        <v>26</v>
      </c>
      <c r="G26">
        <v>10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x14ac:dyDescent="0.35">
      <c r="F27" s="2" t="s">
        <v>39</v>
      </c>
      <c r="G27">
        <v>14</v>
      </c>
    </row>
    <row r="28" spans="1:36" x14ac:dyDescent="0.35">
      <c r="F28" s="2" t="s">
        <v>40</v>
      </c>
      <c r="G28">
        <v>7</v>
      </c>
    </row>
    <row r="29" spans="1:36" x14ac:dyDescent="0.35">
      <c r="F29" s="2" t="s">
        <v>33</v>
      </c>
      <c r="G29">
        <v>78</v>
      </c>
    </row>
    <row r="30" spans="1:36" x14ac:dyDescent="0.35">
      <c r="F30" s="2" t="s">
        <v>41</v>
      </c>
      <c r="G30">
        <v>16</v>
      </c>
    </row>
    <row r="31" spans="1:36" x14ac:dyDescent="0.35">
      <c r="F31" s="2" t="s">
        <v>48</v>
      </c>
      <c r="G31">
        <v>2</v>
      </c>
    </row>
    <row r="32" spans="1:36" x14ac:dyDescent="0.35">
      <c r="F32" s="2" t="s">
        <v>37</v>
      </c>
      <c r="G32">
        <v>11</v>
      </c>
    </row>
    <row r="33" spans="6:7" x14ac:dyDescent="0.35">
      <c r="F33" s="2" t="s">
        <v>42</v>
      </c>
      <c r="G33">
        <v>31</v>
      </c>
    </row>
    <row r="34" spans="6:7" x14ac:dyDescent="0.35">
      <c r="F34" s="2" t="s">
        <v>43</v>
      </c>
      <c r="G34">
        <v>15</v>
      </c>
    </row>
    <row r="35" spans="6:7" x14ac:dyDescent="0.35">
      <c r="F35" s="2" t="s">
        <v>30</v>
      </c>
      <c r="G35">
        <v>8</v>
      </c>
    </row>
    <row r="36" spans="6:7" x14ac:dyDescent="0.35">
      <c r="F36" s="2" t="s">
        <v>24</v>
      </c>
      <c r="G36">
        <v>14</v>
      </c>
    </row>
    <row r="37" spans="6:7" x14ac:dyDescent="0.35">
      <c r="F37" s="2" t="s">
        <v>44</v>
      </c>
      <c r="G37">
        <v>3</v>
      </c>
    </row>
    <row r="38" spans="6:7" x14ac:dyDescent="0.35">
      <c r="F38" s="2" t="s">
        <v>46</v>
      </c>
      <c r="G38">
        <v>4</v>
      </c>
    </row>
    <row r="39" spans="6:7" x14ac:dyDescent="0.35">
      <c r="F39" s="2" t="s">
        <v>47</v>
      </c>
      <c r="G39">
        <v>2</v>
      </c>
    </row>
    <row r="40" spans="6:7" x14ac:dyDescent="0.35">
      <c r="F40" s="2" t="s">
        <v>28</v>
      </c>
      <c r="G40">
        <v>39</v>
      </c>
    </row>
    <row r="41" spans="6:7" x14ac:dyDescent="0.35">
      <c r="F41" s="2" t="s">
        <v>45</v>
      </c>
      <c r="G41">
        <v>3</v>
      </c>
    </row>
    <row r="42" spans="6:7" x14ac:dyDescent="0.35">
      <c r="F42" s="2" t="s">
        <v>49</v>
      </c>
      <c r="G42">
        <v>20</v>
      </c>
    </row>
    <row r="43" spans="6:7" x14ac:dyDescent="0.35">
      <c r="F43" s="2" t="s">
        <v>50</v>
      </c>
      <c r="G43">
        <v>17</v>
      </c>
    </row>
    <row r="44" spans="6:7" x14ac:dyDescent="0.35">
      <c r="F44" s="2" t="s">
        <v>51</v>
      </c>
      <c r="G44">
        <v>18</v>
      </c>
    </row>
    <row r="45" spans="6:7" x14ac:dyDescent="0.35">
      <c r="F45" s="2" t="s">
        <v>7</v>
      </c>
      <c r="G45">
        <v>630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08EB-7FFC-47B6-B945-8AEC5EB12F47}">
  <dimension ref="A1:S26"/>
  <sheetViews>
    <sheetView tabSelected="1" workbookViewId="0">
      <selection sqref="A1:U33"/>
    </sheetView>
  </sheetViews>
  <sheetFormatPr defaultRowHeight="14.5" x14ac:dyDescent="0.35"/>
  <sheetData>
    <row r="1" spans="1:19" x14ac:dyDescent="0.35">
      <c r="A1" s="5" t="s">
        <v>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</sheetData>
  <mergeCells count="2">
    <mergeCell ref="A1:S6"/>
    <mergeCell ref="A7:S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MSI-1</dc:creator>
  <cp:lastModifiedBy>Devang Bhardwaj</cp:lastModifiedBy>
  <dcterms:created xsi:type="dcterms:W3CDTF">2026-10-07T05:46:37Z</dcterms:created>
  <dcterms:modified xsi:type="dcterms:W3CDTF">2026-10-16T08:05:31Z</dcterms:modified>
</cp:coreProperties>
</file>